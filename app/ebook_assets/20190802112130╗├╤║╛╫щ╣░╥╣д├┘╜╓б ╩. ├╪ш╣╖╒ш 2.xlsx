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90" yWindow="-240" windowWidth="10170" windowHeight="10080" tabRatio="658" activeTab="6"/>
  </bookViews>
  <sheets>
    <sheet name="รับรายงานตัว" sheetId="37" r:id="rId1"/>
    <sheet name="รายชื่อ1" sheetId="28" r:id="rId2"/>
    <sheet name="คะแนน" sheetId="33" r:id="rId3"/>
    <sheet name="จำหน่ายกระสุน" sheetId="36" r:id="rId4"/>
    <sheet name="เช็คชื่อ" sheetId="31" r:id="rId5"/>
    <sheet name="เข้าเรียน" sheetId="18" r:id="rId6"/>
    <sheet name="ค่าอาหาร" sheetId="29" r:id="rId7"/>
    <sheet name="ตรวจสอบชื่อพิมพ์ประกาศ" sheetId="22" r:id="rId8"/>
    <sheet name="Sheet1" sheetId="32" r:id="rId9"/>
    <sheet name="ข้อมูลทำเนียบ" sheetId="17" r:id="rId10"/>
    <sheet name="บัตร" sheetId="15" r:id="rId11"/>
    <sheet name="ทำเนียบรุ่น" sheetId="16" r:id="rId12"/>
    <sheet name="Sheet2" sheetId="35" r:id="rId13"/>
    <sheet name="ห้องพัก" sheetId="34" r:id="rId14"/>
  </sheets>
  <definedNames>
    <definedName name="_xlnm.Print_Titles" localSheetId="8">Sheet1!$4:$4</definedName>
    <definedName name="_xlnm.Print_Titles" localSheetId="9">ข้อมูลทำเนียบ!$1:$3</definedName>
    <definedName name="_xlnm.Print_Titles" localSheetId="5">เข้าเรียน!$5:$6</definedName>
    <definedName name="_xlnm.Print_Titles" localSheetId="2">คะแนน!$4:$5</definedName>
    <definedName name="_xlnm.Print_Titles" localSheetId="6">ค่าอาหาร!$6:$6</definedName>
    <definedName name="_xlnm.Print_Titles" localSheetId="3">จำหน่ายกระสุน!$5:$5</definedName>
    <definedName name="_xlnm.Print_Titles" localSheetId="4">เช็คชื่อ!$2:$2</definedName>
    <definedName name="_xlnm.Print_Titles" localSheetId="7">ตรวจสอบชื่อพิมพ์ประกาศ!$1:$5</definedName>
    <definedName name="_xlnm.Print_Titles" localSheetId="11">ทำเนียบรุ่น!$1:$3</definedName>
    <definedName name="_xlnm.Print_Titles" localSheetId="0">รับรายงานตัว!$6:$6</definedName>
    <definedName name="_xlnm.Print_Titles" localSheetId="1">รายชื่อ1!$4:$4</definedName>
    <definedName name="_xlnm.Print_Titles" localSheetId="13">ห้องพัก!$5:$5</definedName>
  </definedNames>
  <calcPr calcId="124519"/>
</workbook>
</file>

<file path=xl/calcChain.xml><?xml version="1.0" encoding="utf-8"?>
<calcChain xmlns="http://schemas.openxmlformats.org/spreadsheetml/2006/main">
  <c r="F63" i="29"/>
  <c r="F61"/>
  <c r="F60"/>
  <c r="F59"/>
  <c r="F58"/>
  <c r="F57"/>
  <c r="F56"/>
  <c r="F55"/>
  <c r="F54"/>
  <c r="F52"/>
  <c r="F50"/>
  <c r="F49"/>
  <c r="F48"/>
  <c r="F47"/>
  <c r="F46"/>
  <c r="F45"/>
  <c r="F44"/>
  <c r="F43"/>
  <c r="F42"/>
  <c r="F41"/>
  <c r="F39"/>
  <c r="F38"/>
  <c r="F37"/>
  <c r="F36"/>
  <c r="F35"/>
  <c r="F34"/>
  <c r="F33"/>
  <c r="F32"/>
  <c r="F31"/>
  <c r="F30"/>
  <c r="F28"/>
  <c r="F27"/>
  <c r="F26"/>
  <c r="F25"/>
  <c r="F24"/>
  <c r="F23"/>
  <c r="F22"/>
  <c r="F21"/>
  <c r="F20"/>
  <c r="F19"/>
  <c r="F17"/>
  <c r="F16"/>
  <c r="F15"/>
  <c r="F14"/>
  <c r="F13"/>
  <c r="F12"/>
  <c r="F11"/>
  <c r="F10"/>
  <c r="F9"/>
  <c r="F8"/>
  <c r="G63" i="18"/>
  <c r="F63"/>
  <c r="G61"/>
  <c r="F61"/>
  <c r="G60"/>
  <c r="F60"/>
  <c r="G59"/>
  <c r="F59"/>
  <c r="G58"/>
  <c r="F58"/>
  <c r="G57"/>
  <c r="F57"/>
  <c r="G56"/>
  <c r="F56"/>
  <c r="G55"/>
  <c r="F55"/>
  <c r="G54"/>
  <c r="F54"/>
  <c r="G52"/>
  <c r="F52"/>
  <c r="G50"/>
  <c r="F50"/>
  <c r="G49"/>
  <c r="F49"/>
  <c r="G48"/>
  <c r="F48"/>
  <c r="G47"/>
  <c r="F47"/>
  <c r="G46"/>
  <c r="F46"/>
  <c r="G45"/>
  <c r="F45"/>
  <c r="G44"/>
  <c r="F44"/>
  <c r="G43"/>
  <c r="F43"/>
  <c r="G42"/>
  <c r="F42"/>
  <c r="G41"/>
  <c r="F41"/>
  <c r="G39"/>
  <c r="F39"/>
  <c r="G38"/>
  <c r="F38"/>
  <c r="G37"/>
  <c r="F37"/>
  <c r="G36"/>
  <c r="F36"/>
  <c r="G35"/>
  <c r="F35"/>
  <c r="G34"/>
  <c r="F34"/>
  <c r="G33"/>
  <c r="F33"/>
  <c r="G32"/>
  <c r="F32"/>
  <c r="G31"/>
  <c r="F31"/>
  <c r="G30"/>
  <c r="F30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G8"/>
  <c r="F8"/>
  <c r="D55" i="22"/>
  <c r="D47"/>
  <c r="D48"/>
  <c r="D49"/>
  <c r="D50"/>
  <c r="D51"/>
  <c r="D52"/>
  <c r="D53"/>
  <c r="D54"/>
  <c r="D46"/>
  <c r="D37"/>
  <c r="D38"/>
  <c r="D39"/>
  <c r="D40"/>
  <c r="D41"/>
  <c r="D42"/>
  <c r="D43"/>
  <c r="D44"/>
  <c r="D45"/>
  <c r="D36"/>
  <c r="D35"/>
  <c r="D27"/>
  <c r="D28"/>
  <c r="D29"/>
  <c r="D30"/>
  <c r="D31"/>
  <c r="D32"/>
  <c r="D33"/>
  <c r="D34"/>
  <c r="D26"/>
  <c r="D17"/>
  <c r="D18"/>
  <c r="D19"/>
  <c r="D20"/>
  <c r="D21"/>
  <c r="D22"/>
  <c r="D23"/>
  <c r="D24"/>
  <c r="D25"/>
  <c r="D16"/>
  <c r="D7"/>
  <c r="D8"/>
  <c r="D9"/>
  <c r="D10"/>
  <c r="D11"/>
  <c r="D12"/>
  <c r="D13"/>
  <c r="D14"/>
  <c r="D15"/>
  <c r="D6"/>
  <c r="L63" i="37"/>
  <c r="L61"/>
  <c r="L60"/>
  <c r="L59"/>
  <c r="L58"/>
  <c r="L57"/>
  <c r="L56"/>
  <c r="L55"/>
  <c r="L54"/>
  <c r="L52"/>
  <c r="L50"/>
  <c r="L49"/>
  <c r="L48"/>
  <c r="L47"/>
  <c r="L46"/>
  <c r="L45"/>
  <c r="L44"/>
  <c r="L43"/>
  <c r="L42"/>
  <c r="L41"/>
  <c r="L39"/>
  <c r="L38"/>
  <c r="L37"/>
  <c r="L36"/>
  <c r="L35"/>
  <c r="L34"/>
  <c r="L33"/>
  <c r="L32"/>
  <c r="L31"/>
  <c r="L30"/>
  <c r="L28"/>
  <c r="L27"/>
  <c r="L26"/>
  <c r="L25"/>
  <c r="L24"/>
  <c r="L23"/>
  <c r="L22"/>
  <c r="L21"/>
  <c r="L20"/>
  <c r="L19"/>
  <c r="L17"/>
  <c r="L16"/>
  <c r="L15"/>
  <c r="L14"/>
  <c r="L13"/>
  <c r="L12"/>
  <c r="L11"/>
  <c r="L10"/>
  <c r="L9"/>
  <c r="L8"/>
  <c r="G65" i="36" l="1"/>
  <c r="G64"/>
  <c r="G60" l="1"/>
  <c r="G59"/>
  <c r="G58"/>
  <c r="G57"/>
  <c r="G56"/>
  <c r="G55"/>
  <c r="G54"/>
  <c r="G53"/>
  <c r="G52"/>
  <c r="G51"/>
  <c r="G49"/>
  <c r="G48"/>
  <c r="G47"/>
  <c r="G46"/>
  <c r="G45"/>
  <c r="G44"/>
  <c r="G43"/>
  <c r="G42"/>
  <c r="G41"/>
  <c r="G40"/>
  <c r="G38"/>
  <c r="G37"/>
  <c r="G36"/>
  <c r="G35"/>
  <c r="G34"/>
  <c r="G33"/>
  <c r="G32"/>
  <c r="G31"/>
  <c r="G30"/>
  <c r="G29"/>
  <c r="G27"/>
  <c r="G26"/>
  <c r="G25"/>
  <c r="G24"/>
  <c r="G23"/>
  <c r="G22"/>
  <c r="G21"/>
  <c r="G20"/>
  <c r="G19"/>
  <c r="G18"/>
  <c r="G16"/>
  <c r="G15"/>
  <c r="G14"/>
  <c r="G13"/>
  <c r="G12"/>
  <c r="G11"/>
  <c r="G10"/>
  <c r="G9"/>
  <c r="G8"/>
  <c r="G7"/>
  <c r="I105" i="16"/>
  <c r="B105"/>
  <c r="I101"/>
  <c r="B101"/>
  <c r="I97"/>
  <c r="B97"/>
  <c r="I89"/>
  <c r="B89"/>
  <c r="I68"/>
  <c r="I40"/>
  <c r="I104"/>
  <c r="B104"/>
  <c r="I100"/>
  <c r="B100"/>
  <c r="B99"/>
  <c r="I96"/>
  <c r="B96"/>
  <c r="I93"/>
  <c r="B93"/>
  <c r="B92"/>
  <c r="I88"/>
  <c r="B88"/>
  <c r="I103"/>
  <c r="B103"/>
  <c r="I99"/>
  <c r="I95"/>
  <c r="B95"/>
  <c r="I91"/>
  <c r="B91"/>
  <c r="I87"/>
  <c r="B87"/>
  <c r="L103"/>
  <c r="E103"/>
  <c r="L99"/>
  <c r="E99"/>
  <c r="L95"/>
  <c r="E95"/>
  <c r="I92"/>
  <c r="L91"/>
  <c r="E91"/>
  <c r="L87"/>
  <c r="E87"/>
  <c r="Q323" i="15" l="1"/>
  <c r="Q318"/>
  <c r="G323"/>
  <c r="G318"/>
  <c r="Q310"/>
  <c r="Q305"/>
  <c r="G310"/>
  <c r="G305"/>
  <c r="Q297"/>
  <c r="Q292"/>
  <c r="G297"/>
  <c r="G292"/>
  <c r="Q284"/>
  <c r="G284"/>
  <c r="Q279"/>
  <c r="G279"/>
  <c r="Q271"/>
  <c r="G271"/>
  <c r="Q266"/>
  <c r="G266"/>
  <c r="L44" i="17"/>
  <c r="D272" i="15" s="1"/>
  <c r="L45" i="17"/>
  <c r="N272" i="15" s="1"/>
  <c r="L46" i="17"/>
  <c r="D285" i="15" s="1"/>
  <c r="L47" i="17"/>
  <c r="N285" i="15" s="1"/>
  <c r="L48" i="17"/>
  <c r="D298" i="15" s="1"/>
  <c r="L49" i="17"/>
  <c r="N298" i="15" s="1"/>
  <c r="L50" i="17"/>
  <c r="D311" i="15" s="1"/>
  <c r="L51" i="17"/>
  <c r="N311" i="15" s="1"/>
  <c r="L52" i="17"/>
  <c r="D324" i="15" s="1"/>
  <c r="L53" i="17"/>
  <c r="N324" i="15" s="1"/>
  <c r="G239" l="1"/>
  <c r="Q239"/>
  <c r="G252"/>
  <c r="Q252"/>
  <c r="Q232"/>
  <c r="G232"/>
  <c r="Q251"/>
  <c r="G251"/>
  <c r="Q238"/>
  <c r="G238"/>
  <c r="Q224"/>
  <c r="G224"/>
  <c r="Q210"/>
  <c r="G210"/>
  <c r="Q196"/>
  <c r="G196"/>
  <c r="Q184"/>
  <c r="G184"/>
  <c r="Q171"/>
  <c r="G171"/>
  <c r="Q158"/>
  <c r="G158"/>
  <c r="Q145"/>
  <c r="G145"/>
  <c r="Q132"/>
  <c r="G132"/>
  <c r="Q120"/>
  <c r="G120"/>
  <c r="Q107"/>
  <c r="G107"/>
  <c r="Q94"/>
  <c r="G94"/>
  <c r="Q81"/>
  <c r="G81"/>
  <c r="Q68"/>
  <c r="G68"/>
  <c r="Q55"/>
  <c r="G55"/>
  <c r="G303" s="1"/>
  <c r="G316" s="1"/>
  <c r="Q41"/>
  <c r="G41"/>
  <c r="Q28"/>
  <c r="G28"/>
  <c r="Q15"/>
  <c r="G15"/>
  <c r="Q2"/>
  <c r="L4" i="17"/>
  <c r="L5"/>
  <c r="L6"/>
  <c r="L7"/>
  <c r="L8"/>
  <c r="L9"/>
  <c r="L10"/>
  <c r="L11"/>
  <c r="L12"/>
  <c r="L13"/>
  <c r="L14"/>
  <c r="L15"/>
  <c r="L16"/>
  <c r="L17"/>
  <c r="N89" i="15" s="1"/>
  <c r="L18" i="17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D219" i="15" s="1"/>
  <c r="L37" i="17"/>
  <c r="L38"/>
  <c r="L39"/>
  <c r="L40"/>
  <c r="L41"/>
  <c r="L42"/>
  <c r="L43"/>
  <c r="G264" i="15" l="1"/>
  <c r="Q264"/>
  <c r="G290"/>
  <c r="Q290"/>
  <c r="Q303" s="1"/>
  <c r="Q316" s="1"/>
  <c r="Q277"/>
  <c r="G277"/>
  <c r="D10"/>
  <c r="Q4" l="1"/>
  <c r="Q30"/>
  <c r="B17" i="16"/>
  <c r="Q57" i="15"/>
  <c r="Q83"/>
  <c r="B33" i="16"/>
  <c r="Q109" i="15"/>
  <c r="B50" i="16"/>
  <c r="B66"/>
  <c r="I71"/>
  <c r="G4" i="15"/>
  <c r="Q9"/>
  <c r="B10" i="16"/>
  <c r="B14"/>
  <c r="Q35" i="15"/>
  <c r="B18" i="16"/>
  <c r="B22"/>
  <c r="I22"/>
  <c r="G75" i="15"/>
  <c r="G88"/>
  <c r="Q88"/>
  <c r="B34" i="16"/>
  <c r="Q114" i="15"/>
  <c r="B43" i="16"/>
  <c r="B47"/>
  <c r="I47"/>
  <c r="B51"/>
  <c r="I55"/>
  <c r="G178" i="15"/>
  <c r="B63" i="16"/>
  <c r="I63"/>
  <c r="G204" i="15"/>
  <c r="I72" i="16"/>
  <c r="B76"/>
  <c r="I80"/>
  <c r="G258" i="15"/>
  <c r="B6" i="16"/>
  <c r="Q17" i="15"/>
  <c r="B13" i="16"/>
  <c r="G57" i="15"/>
  <c r="I25" i="16"/>
  <c r="G83" i="15"/>
  <c r="Q96"/>
  <c r="G109"/>
  <c r="I42" i="16"/>
  <c r="B46"/>
  <c r="B54"/>
  <c r="Q173" i="15"/>
  <c r="G186"/>
  <c r="B71" i="16"/>
  <c r="I75"/>
  <c r="B79"/>
  <c r="N10" i="15"/>
  <c r="N23"/>
  <c r="D36"/>
  <c r="N36"/>
  <c r="D50"/>
  <c r="N50"/>
  <c r="D64"/>
  <c r="N64"/>
  <c r="N76"/>
  <c r="D89"/>
  <c r="D102"/>
  <c r="N102"/>
  <c r="D115"/>
  <c r="N115"/>
  <c r="D128"/>
  <c r="N128"/>
  <c r="D140"/>
  <c r="N140"/>
  <c r="D153"/>
  <c r="N153"/>
  <c r="D166"/>
  <c r="N166"/>
  <c r="D179"/>
  <c r="N179"/>
  <c r="D192"/>
  <c r="N192"/>
  <c r="D205"/>
  <c r="N205"/>
  <c r="N219"/>
  <c r="D233"/>
  <c r="N233"/>
  <c r="D246"/>
  <c r="N246"/>
  <c r="D259"/>
  <c r="N259"/>
  <c r="E5" i="16"/>
  <c r="L5"/>
  <c r="B7"/>
  <c r="I7"/>
  <c r="E9"/>
  <c r="I9"/>
  <c r="L9"/>
  <c r="I10"/>
  <c r="B11"/>
  <c r="I11"/>
  <c r="E13"/>
  <c r="L13"/>
  <c r="B15"/>
  <c r="I15"/>
  <c r="E17"/>
  <c r="I17"/>
  <c r="L17"/>
  <c r="I18"/>
  <c r="B19"/>
  <c r="I19"/>
  <c r="B21"/>
  <c r="E21"/>
  <c r="L21"/>
  <c r="B23"/>
  <c r="I23"/>
  <c r="E25"/>
  <c r="L25"/>
  <c r="B26"/>
  <c r="I26"/>
  <c r="B27"/>
  <c r="I27"/>
  <c r="E29"/>
  <c r="L29"/>
  <c r="B30"/>
  <c r="B31"/>
  <c r="I31"/>
  <c r="E33"/>
  <c r="L33"/>
  <c r="I34"/>
  <c r="B35"/>
  <c r="I35"/>
  <c r="E38"/>
  <c r="L38"/>
  <c r="B39"/>
  <c r="B40"/>
  <c r="E42"/>
  <c r="L42"/>
  <c r="I43"/>
  <c r="B44"/>
  <c r="I44"/>
  <c r="E46"/>
  <c r="L46"/>
  <c r="B48"/>
  <c r="I48"/>
  <c r="E50"/>
  <c r="I50"/>
  <c r="L50"/>
  <c r="I51"/>
  <c r="B52"/>
  <c r="I52"/>
  <c r="E54"/>
  <c r="L54"/>
  <c r="B55"/>
  <c r="B56"/>
  <c r="I56"/>
  <c r="E58"/>
  <c r="L58"/>
  <c r="I59"/>
  <c r="B60"/>
  <c r="I60"/>
  <c r="E62"/>
  <c r="L62"/>
  <c r="B64"/>
  <c r="I64"/>
  <c r="E66"/>
  <c r="I66"/>
  <c r="L66"/>
  <c r="I67"/>
  <c r="B68"/>
  <c r="E71"/>
  <c r="L71"/>
  <c r="B72"/>
  <c r="B73"/>
  <c r="I73"/>
  <c r="E75"/>
  <c r="L75"/>
  <c r="I76"/>
  <c r="B77"/>
  <c r="I77"/>
  <c r="E79"/>
  <c r="L79"/>
  <c r="B80"/>
  <c r="B81"/>
  <c r="I81"/>
  <c r="E83"/>
  <c r="I83"/>
  <c r="L83"/>
  <c r="I84"/>
  <c r="B85"/>
  <c r="I85"/>
  <c r="Q22" i="15"/>
  <c r="D23"/>
  <c r="Q43"/>
  <c r="Q49"/>
  <c r="Q75"/>
  <c r="D76"/>
  <c r="Q101"/>
  <c r="G114"/>
  <c r="Q127"/>
  <c r="G139"/>
  <c r="Q139"/>
  <c r="Q147"/>
  <c r="Q152"/>
  <c r="G165"/>
  <c r="Q178"/>
  <c r="Q198"/>
  <c r="Q204"/>
  <c r="G218"/>
  <c r="G245"/>
  <c r="Q245"/>
  <c r="Q253"/>
  <c r="Q258"/>
  <c r="G101" l="1"/>
  <c r="G22"/>
  <c r="B84" i="16"/>
  <c r="G212" i="15"/>
  <c r="G191"/>
  <c r="G160"/>
  <c r="G63"/>
  <c r="G35"/>
  <c r="B67" i="16"/>
  <c r="B59"/>
  <c r="G49" i="15"/>
  <c r="Q165"/>
  <c r="I58" i="16"/>
  <c r="I30"/>
  <c r="Q122" i="15"/>
  <c r="Q70"/>
  <c r="Q226"/>
  <c r="I14" i="16"/>
  <c r="I33"/>
  <c r="I79"/>
  <c r="Q240" i="15"/>
  <c r="Q186"/>
  <c r="I62" i="16"/>
  <c r="Q160" i="15"/>
  <c r="I54" i="16"/>
  <c r="Q134" i="15"/>
  <c r="I46" i="16"/>
  <c r="B83"/>
  <c r="G253" i="15"/>
  <c r="G226"/>
  <c r="B75" i="16"/>
  <c r="B58"/>
  <c r="G173" i="15"/>
  <c r="B42" i="16"/>
  <c r="G122" i="15"/>
  <c r="B25" i="16"/>
  <c r="G70" i="15"/>
  <c r="B9" i="16"/>
  <c r="G17" i="15"/>
  <c r="B29" i="16"/>
  <c r="G134" i="15"/>
  <c r="G30"/>
  <c r="B38" i="16"/>
  <c r="G240" i="15"/>
  <c r="B62" i="16"/>
  <c r="Q191" i="15"/>
  <c r="G152"/>
  <c r="G127"/>
  <c r="Q63"/>
  <c r="I39" i="16"/>
  <c r="I6"/>
  <c r="Q218" i="15"/>
  <c r="G9"/>
  <c r="Q212"/>
  <c r="I38" i="16"/>
  <c r="I21"/>
  <c r="I13"/>
  <c r="I5"/>
  <c r="G198" i="15"/>
  <c r="G147"/>
  <c r="G96"/>
  <c r="G43"/>
  <c r="I29" i="16"/>
  <c r="B5"/>
  <c r="G108" i="15"/>
  <c r="G172"/>
  <c r="G133"/>
  <c r="Q69"/>
  <c r="Q211"/>
  <c r="Q159"/>
  <c r="G69"/>
  <c r="G95"/>
  <c r="Q121"/>
  <c r="G121"/>
  <c r="Q133"/>
  <c r="G146"/>
  <c r="Q172"/>
  <c r="G159"/>
  <c r="G185"/>
  <c r="Q185"/>
  <c r="G211"/>
  <c r="Q108"/>
  <c r="Q3"/>
  <c r="G82"/>
  <c r="Q82"/>
  <c r="Q197"/>
  <c r="G197"/>
  <c r="Q225"/>
  <c r="G225"/>
  <c r="Q146"/>
  <c r="Q95"/>
  <c r="G16"/>
  <c r="Q16" l="1"/>
  <c r="Q29" s="1"/>
  <c r="Q42" s="1"/>
  <c r="Q56" s="1"/>
  <c r="Q265"/>
  <c r="G265"/>
  <c r="G29"/>
  <c r="G42" l="1"/>
  <c r="G278"/>
  <c r="Q278"/>
  <c r="G56" l="1"/>
  <c r="G304" s="1"/>
  <c r="G317" s="1"/>
  <c r="Q291"/>
  <c r="Q304" s="1"/>
  <c r="Q317" s="1"/>
  <c r="G291"/>
</calcChain>
</file>

<file path=xl/sharedStrings.xml><?xml version="1.0" encoding="utf-8"?>
<sst xmlns="http://schemas.openxmlformats.org/spreadsheetml/2006/main" count="1448" uniqueCount="430">
  <si>
    <t>รายชื่อผู้เข้ารับการฝึกอบรม</t>
  </si>
  <si>
    <t>ตำแหน่ง</t>
  </si>
  <si>
    <t>ลายมือชื่อ</t>
  </si>
  <si>
    <t>ลำดับ</t>
  </si>
  <si>
    <t>ชื่อเล่น</t>
  </si>
  <si>
    <t xml:space="preserve"> </t>
  </si>
  <si>
    <t xml:space="preserve">    </t>
  </si>
  <si>
    <t>บช.น.</t>
  </si>
  <si>
    <t xml:space="preserve">   </t>
  </si>
  <si>
    <t>Rh.</t>
  </si>
  <si>
    <t>ตำแหน่ง/สังกัด</t>
  </si>
  <si>
    <t>กรุ๊ปเลือด</t>
  </si>
  <si>
    <t>โปรดตรวจสอบแก้ไข ยศ ชื่อ สกุล ตำแหน่ง เพื่อจัดทำวุฒิบัตร</t>
  </si>
  <si>
    <t>ยศ       ชื่อ          สกุล</t>
  </si>
  <si>
    <t>โปรดกรอกข้อมูลให้ถูกต้อง ครบถ้วน</t>
  </si>
  <si>
    <t>เช้า</t>
  </si>
  <si>
    <t>บ่าย</t>
  </si>
  <si>
    <t xml:space="preserve">รายชื่อผู้เข้ารับการฝึกอบรม    </t>
  </si>
  <si>
    <t>ยศ   ชื่อ  สกุล</t>
  </si>
  <si>
    <t>หมายเลขโทรศัพท์</t>
  </si>
  <si>
    <t xml:space="preserve">       ยศ         ชื่อ      สกุล</t>
  </si>
  <si>
    <t>หมายเลขบัตรประชาชน</t>
  </si>
  <si>
    <t>ประกอบการเบิกค่าใช้จ่ายฝึกอบรม (อาหาร,อาหารว่างและเครื่องดื่ม)</t>
  </si>
  <si>
    <t>แก้ไขยศ-ชื่อ-สกุล-ตำแหน่งเป็น</t>
  </si>
  <si>
    <t>อายุ</t>
  </si>
  <si>
    <t xml:space="preserve">    ยศ              ชื่อ           สกุล</t>
  </si>
  <si>
    <t>โครงการฝึกอบรมการอยู่รอดของเจ้าหน้าที่และยุทธวิธี (O.S.T.) รุ่นที่ 1 ประจำปีงบประมาณ ๒๕61</t>
  </si>
  <si>
    <t>ระหว่างวันที่ 11 - 15 ธันวาคม 2560</t>
  </si>
  <si>
    <t>หมายเลขห้อง</t>
  </si>
  <si>
    <t>พักอาคาร AB</t>
  </si>
  <si>
    <t>บัญชีห้องพักผู้เข้ารับการฝึกอบรม</t>
  </si>
  <si>
    <t>กุญแจ/ดอก</t>
  </si>
  <si>
    <t>มัดจำ 200 บ.</t>
  </si>
  <si>
    <t>เบอร์โทร</t>
  </si>
  <si>
    <t>ตรวจแล้วถูกต้อง</t>
  </si>
  <si>
    <t>**ถ้าผิด แก้ไขเป็น**</t>
  </si>
  <si>
    <t xml:space="preserve">บัญชีรายชื่อผู้สำเร็จการฝึกอบรม    </t>
  </si>
  <si>
    <t>บัญชีจ่ายกระสุน ขนาด 9 มม.</t>
  </si>
  <si>
    <t>จำนวนนัด</t>
  </si>
  <si>
    <t xml:space="preserve">หลักสูตรการปรับพื้นฐานยุทธวิธีตำรวจระดับครูฝึก (ชั้นสัญญาบัตร) รุ่นที่ 1 </t>
  </si>
  <si>
    <t>ภ.1</t>
  </si>
  <si>
    <t>ภ.3</t>
  </si>
  <si>
    <t>ภ.5</t>
  </si>
  <si>
    <t>ภ.7</t>
  </si>
  <si>
    <t>ภ.9</t>
  </si>
  <si>
    <t xml:space="preserve">    พ.ต.อ.</t>
  </si>
  <si>
    <t>ผกก.ศูนย์ฝึกยทธวิธีตำรวจ บก.ฝรก.</t>
  </si>
  <si>
    <t>(อมรวิทย์  มั่นทอง)</t>
  </si>
  <si>
    <t>หลักสูตรการปรับพื้นฐานยุทธวิธีตำรวจระดับครูฝึก (ชั้นสัญญาบัตร) รุ่นที่ 1 ประจำปีงบประมาณ ๒๕62</t>
  </si>
  <si>
    <t>ระหว่างวันที่ 20 - 31 พฤษภาคม 2562</t>
  </si>
  <si>
    <t xml:space="preserve"> ประจำปีงบประมาณ 2562</t>
  </si>
  <si>
    <t>ร้อยตำรวจโท วรดร  ใสสุชล</t>
  </si>
  <si>
    <t>พ.ต.ต.</t>
  </si>
  <si>
    <t xml:space="preserve">             พ.ต.อ.</t>
  </si>
  <si>
    <t>A</t>
  </si>
  <si>
    <t>O</t>
  </si>
  <si>
    <t>B</t>
  </si>
  <si>
    <t>AB</t>
  </si>
  <si>
    <t>อรรถพล</t>
  </si>
  <si>
    <t>วรลักษณ์ภักดี</t>
  </si>
  <si>
    <t>สว.ศูนย์ฝึกยุทธวิธีตำรวจ บก.ฝรก.</t>
  </si>
  <si>
    <t>ด.ต.</t>
  </si>
  <si>
    <t>ปรวัฒน์</t>
  </si>
  <si>
    <t>บุตรวงษ์</t>
  </si>
  <si>
    <t>ผบ.หมู่ ศูนย์ฝึกยุทธวิธีตำรวจ บก.ฝรก.</t>
  </si>
  <si>
    <t>กระสุนสาธิต/ครูฝึก จำนวน.......2..........คน</t>
  </si>
  <si>
    <t>จำนวนคนละ  150 นัด</t>
  </si>
  <si>
    <t>บันทึกคะแนน</t>
  </si>
  <si>
    <t>ภ.2</t>
  </si>
  <si>
    <t>ภ.4</t>
  </si>
  <si>
    <t>ภ.6</t>
  </si>
  <si>
    <t>ภ.8</t>
  </si>
  <si>
    <t>ระหว่างวันที่ 29 กรกฎาคม - 9 สิงหาคม 2562</t>
  </si>
  <si>
    <t>พ.ต.ท.</t>
  </si>
  <si>
    <t>ชวลิต</t>
  </si>
  <si>
    <t>อาจหาญ</t>
  </si>
  <si>
    <t>08 1407 7129</t>
  </si>
  <si>
    <t>สุดหนองบัว</t>
  </si>
  <si>
    <t>08 9277 7045</t>
  </si>
  <si>
    <t>ร.ต.อ.</t>
  </si>
  <si>
    <t>สะไกร</t>
  </si>
  <si>
    <t>ปิดสายะ</t>
  </si>
  <si>
    <t>09 2563 5670</t>
  </si>
  <si>
    <t>ปิยพล</t>
  </si>
  <si>
    <t>อนันต์เอื้อ</t>
  </si>
  <si>
    <t>09 1861 7604</t>
  </si>
  <si>
    <t>ศิริชัย</t>
  </si>
  <si>
    <t>ปลัดขวา</t>
  </si>
  <si>
    <t>09 8986 7996</t>
  </si>
  <si>
    <t>ศุภชาติ</t>
  </si>
  <si>
    <t>โพธิจันทร์</t>
  </si>
  <si>
    <t>รอง สว.กก.สืบสวน ภ.จว.หนองคาย</t>
  </si>
  <si>
    <t>06 2993 5696</t>
  </si>
  <si>
    <t>จักริน</t>
  </si>
  <si>
    <t>โสดาวิชิต</t>
  </si>
  <si>
    <t>09 8492 8076</t>
  </si>
  <si>
    <t>ธนากร</t>
  </si>
  <si>
    <t>ภูขาว</t>
  </si>
  <si>
    <t>รอง สวป.สภ.กุมภวาปี ปรก.สภ.เมืองอุดรธานี</t>
  </si>
  <si>
    <t>08 1391 5753</t>
  </si>
  <si>
    <t>วงศ์วริศ</t>
  </si>
  <si>
    <t>ธรรมโกลัง</t>
  </si>
  <si>
    <t>รอง สวป.สภ.นายูง ปรก.สภ.เมืองอุดรธานี</t>
  </si>
  <si>
    <t>วัฒนา</t>
  </si>
  <si>
    <t>ศรีศิลป์</t>
  </si>
  <si>
    <t>080 5301 103</t>
  </si>
  <si>
    <t>083 3989 484</t>
  </si>
  <si>
    <t xml:space="preserve"> 080 8936 217</t>
  </si>
  <si>
    <t>สัจจะ</t>
  </si>
  <si>
    <t>สมกำลัง</t>
  </si>
  <si>
    <t>089 9474 447</t>
  </si>
  <si>
    <t>คีรีรักษ์</t>
  </si>
  <si>
    <t xml:space="preserve"> 095 9425 115</t>
  </si>
  <si>
    <t>อภิเชษฐ์</t>
  </si>
  <si>
    <t>คีรีเพ็ชร</t>
  </si>
  <si>
    <t>093 6653 733</t>
  </si>
  <si>
    <t>อนุรัตน์</t>
  </si>
  <si>
    <t>ศรีมาลา</t>
  </si>
  <si>
    <t>084 5368 134</t>
  </si>
  <si>
    <t>รุ่ง</t>
  </si>
  <si>
    <t>เทียนอยู่</t>
  </si>
  <si>
    <t>สวป.สภ.คลองขลุง ภ.จว.กำแพงเพชร</t>
  </si>
  <si>
    <t>065-2198844</t>
  </si>
  <si>
    <t>087-1985597</t>
  </si>
  <si>
    <t>081-8887829</t>
  </si>
  <si>
    <t>093-2800771</t>
  </si>
  <si>
    <t>089-5681199</t>
  </si>
  <si>
    <t>089-9599763</t>
  </si>
  <si>
    <t>089-2693912</t>
  </si>
  <si>
    <t>086-2002623</t>
  </si>
  <si>
    <t>085-7369659</t>
  </si>
  <si>
    <t>บุญนพ</t>
  </si>
  <si>
    <t>คำมูล</t>
  </si>
  <si>
    <t>สวป.สภ.ไทรงาม ภ.จว.กำแพงเพชร</t>
  </si>
  <si>
    <t>รอง สวป.สภ.ลาดยาว ภ.จว.นครสวรรค์</t>
  </si>
  <si>
    <t>ชาคลีรัตน์</t>
  </si>
  <si>
    <t>ปาสร้อย</t>
  </si>
  <si>
    <t>อนุกุล</t>
  </si>
  <si>
    <t>จันทร์นุช</t>
  </si>
  <si>
    <t>อุทัย</t>
  </si>
  <si>
    <t>รอดอยู่</t>
  </si>
  <si>
    <t>ร.ต.ต.</t>
  </si>
  <si>
    <t>ธุวชิต</t>
  </si>
  <si>
    <t>สอนศรี</t>
  </si>
  <si>
    <t>อมร</t>
  </si>
  <si>
    <t>เมืองแก้ว</t>
  </si>
  <si>
    <t>พรชัย</t>
  </si>
  <si>
    <t>ปิ่นชาลี</t>
  </si>
  <si>
    <t>สันติพงษ์</t>
  </si>
  <si>
    <t>แก้มกรม</t>
  </si>
  <si>
    <t>รอง สวป.สภ.บรรพตพิสัย ภ.จว.นครสวรรค์</t>
  </si>
  <si>
    <t>รอง สวป.สภ.วชิรบารมี ภ.จว.พิจิตร</t>
  </si>
  <si>
    <t>รอง สวป.สภ.บางมูลนาก ภ.จว.พิจิตร</t>
  </si>
  <si>
    <t>รอง สวป.สภ.พรหมพิราม ภ.จว.พิษณุโลก</t>
  </si>
  <si>
    <t>รอง สวป.สภ.วังทอง ภ.จว.พิษณุโลก</t>
  </si>
  <si>
    <t>รอง สวป.สภ.เมืองเพชรบูรณ์</t>
  </si>
  <si>
    <t>รอง สวป.สภ.หล่มสัก ภ.จว.เพชรบูรณ์</t>
  </si>
  <si>
    <t>ธัชพล</t>
  </si>
  <si>
    <t>มณีแสง</t>
  </si>
  <si>
    <t>รอง สว.ศูนย์ฝึกยุทธวิธีตำรวจ บก.ฝรก.</t>
  </si>
  <si>
    <t>สุวสันต์</t>
  </si>
  <si>
    <t>นาหาร</t>
  </si>
  <si>
    <t>09 8584 0030</t>
  </si>
  <si>
    <t>สวป.สภ.เกษตรวิสัย ภ.จว.ร้อยเอ็ด</t>
  </si>
  <si>
    <t>สวป.สภ.เมืองสรวง ภ.จว.ร้อยเอ็ด</t>
  </si>
  <si>
    <t>รอง สวป.สภ.ท่าคันโท ภ.จว.กาฬสินธุ์</t>
  </si>
  <si>
    <t>รอง สว.สส.สภ.ดอนจาน ภ.จว.กาฬสินธุ์</t>
  </si>
  <si>
    <t>รอง สวป.ฯ ปรก.สภ.บ้านไผ่ ภ.จว.ขอนแก่น</t>
  </si>
  <si>
    <t>รอง สวป.สภ.บ้านแฮด ภ.จว.ขอนแก่น</t>
  </si>
  <si>
    <t>รอง สวป.สภ.บ้านตาขุน ภ.จว.สุราษฎร์ธานี</t>
  </si>
  <si>
    <t>รอง สว.สส.สภ.ทรายขาว ภ.จว.กระบี่</t>
  </si>
  <si>
    <t>รอง สวป.สภ.ป่าตอง ภ.จว.ภูเก็ต</t>
  </si>
  <si>
    <t>รอง สวป.สภ.หลังสวน ภ.จว.ชุมพร</t>
  </si>
  <si>
    <t>รอง สวป.สภ.ท่าแซะ ภ.จว.ชุมพร</t>
  </si>
  <si>
    <t>บก.ฝรก.</t>
  </si>
  <si>
    <t>098 6925 169</t>
  </si>
  <si>
    <t>ณัฐพงษ์</t>
  </si>
  <si>
    <t>กลิ่นลำยงค์</t>
  </si>
  <si>
    <t>081-3542939</t>
  </si>
  <si>
    <t>สมชาติ</t>
  </si>
  <si>
    <t>สุวพิชญ์</t>
  </si>
  <si>
    <t>อินทร์สิงห์</t>
  </si>
  <si>
    <t>087-0544766</t>
  </si>
  <si>
    <t>โสภณ</t>
  </si>
  <si>
    <t>คำเวียงจันทร์</t>
  </si>
  <si>
    <t>087-1111879</t>
  </si>
  <si>
    <t>มณฑล</t>
  </si>
  <si>
    <t>แดงสมิง</t>
  </si>
  <si>
    <t>081-1425519</t>
  </si>
  <si>
    <t>ณภัทรพงษ์</t>
  </si>
  <si>
    <t>ขันธะหัตถ์</t>
  </si>
  <si>
    <t>086-5133528</t>
  </si>
  <si>
    <t xml:space="preserve">สวป.สน.ดินแดง บก.น.1 </t>
  </si>
  <si>
    <t>รอง สวป.สน.ห้วยขวาง บก.น.1</t>
  </si>
  <si>
    <t>รอง สวป.สน.บางเขน บก.น.2</t>
  </si>
  <si>
    <t xml:space="preserve">รอง สว.ธร.สน.โคกคราม บก.น.2 </t>
  </si>
  <si>
    <t>รอง สวป.สน.มีนบุรี บก.น.3</t>
  </si>
  <si>
    <t>รอง สวป.สน.ร่มเกล้า บก.น.3</t>
  </si>
  <si>
    <t>ณรัฐช์พงศ์</t>
  </si>
  <si>
    <t>อุดมศรี</t>
  </si>
  <si>
    <t>รอง ผกก.(ป.) สน.บึงกุ่ม บก.น.4</t>
  </si>
  <si>
    <t>ร.ต.ท.</t>
  </si>
  <si>
    <t>รอง สว.(สอบสวน) สน.บางชัน บก.น.4</t>
  </si>
  <si>
    <t>095-5545955</t>
  </si>
  <si>
    <t>สรกฤช</t>
  </si>
  <si>
    <t>ชุมหล่อ</t>
  </si>
  <si>
    <t>รอง สวป.สน.บางนา บก.น.5</t>
  </si>
  <si>
    <t>081-8188695</t>
  </si>
  <si>
    <t>กฤษณ</t>
  </si>
  <si>
    <t>บัวหอม</t>
  </si>
  <si>
    <t>รอง สวป.สน.ทุ่งมหาเมฆ</t>
  </si>
  <si>
    <t>085-1273333</t>
  </si>
  <si>
    <t xml:space="preserve">พันธุ์มณี </t>
  </si>
  <si>
    <t>รอง สว.กก.สืบสวน ภ.จว.จันทบุรี</t>
  </si>
  <si>
    <t>092-6022062</t>
  </si>
  <si>
    <t xml:space="preserve">ดุสิต </t>
  </si>
  <si>
    <t>โชติสกุลแสงทอง</t>
  </si>
  <si>
    <t xml:space="preserve">รอง สวป.สภ.สอยดาว จว.ชลบุรี </t>
  </si>
  <si>
    <t>089-9229687</t>
  </si>
  <si>
    <t xml:space="preserve">ไกรศักดิ์ </t>
  </si>
  <si>
    <t xml:space="preserve">เฉยฉิว </t>
  </si>
  <si>
    <t>083-1995510</t>
  </si>
  <si>
    <t xml:space="preserve">ประยงค์ </t>
  </si>
  <si>
    <t xml:space="preserve">อยู่สาโก </t>
  </si>
  <si>
    <t>รอง สวป.สภ.แปลงยาว จว.ฉะเชิงเทรา</t>
  </si>
  <si>
    <t xml:space="preserve"> 086-8231669</t>
  </si>
  <si>
    <t xml:space="preserve">วุฒิพงษ์ </t>
  </si>
  <si>
    <t>กาสา</t>
  </si>
  <si>
    <t xml:space="preserve">รอง สว.กก.สืบสวน ภ.จว.ชลบุรี </t>
  </si>
  <si>
    <t xml:space="preserve"> 081-8662466</t>
  </si>
  <si>
    <t xml:space="preserve">อาทิตย์ </t>
  </si>
  <si>
    <t>ธรรมสุนา</t>
  </si>
  <si>
    <t xml:space="preserve">สวป.สภ.วังตะเคียน จว.ปราจีนบุรี </t>
  </si>
  <si>
    <t>090-9687460</t>
  </si>
  <si>
    <t xml:space="preserve">อนวัช </t>
  </si>
  <si>
    <t xml:space="preserve">พรมปะ </t>
  </si>
  <si>
    <t>รอง สวป.สภ.ศรีมหาโพธิ จว.ปราจีนบุรี</t>
  </si>
  <si>
    <t>063-1969269</t>
  </si>
  <si>
    <t xml:space="preserve">สิทธา </t>
  </si>
  <si>
    <t xml:space="preserve">ช่อเกตุ </t>
  </si>
  <si>
    <t xml:space="preserve">รอง สวป.สภ.มาบตาพุด จว.ระยอง </t>
  </si>
  <si>
    <t xml:space="preserve">คมเดช </t>
  </si>
  <si>
    <t xml:space="preserve">ศรียางนอก </t>
  </si>
  <si>
    <t>รอง สวป.สภ.บ้านฉาง จว.ระยอง</t>
  </si>
  <si>
    <t xml:space="preserve"> 081-8629339</t>
  </si>
  <si>
    <t>รับรายงานตัว วันจันทร์ที่ 29 กรกฎาคม  2562</t>
  </si>
  <si>
    <t>หลักสูตรการปรับพื้นฐานยุทธวิธีตำรวจระดับครูฝึก (ชั้นสัญญาบัตร) รุ่นที่ 2 ประจำปีงบประมาณ ๒๕62</t>
  </si>
  <si>
    <t>หมายเหตุ</t>
  </si>
  <si>
    <t>พ.ต.ต.ณัฐพงษ์  กลิ่นลำยงค์</t>
  </si>
  <si>
    <t>ร.ต.อ.สุวพิชญ์  อินทร์สิงห์</t>
  </si>
  <si>
    <t>ร.ต.อ.โสภณ  คำเวียงจันทร์</t>
  </si>
  <si>
    <t>ร.ต.อ.มณฑล  แดงสมิง</t>
  </si>
  <si>
    <t>ร.ต.อ.ณภัทรพงษ์  ขันธะหัตถ์</t>
  </si>
  <si>
    <t>พ.ต.ท.ณรัฐช์พงศ์  อุดมศรี</t>
  </si>
  <si>
    <t>ร.ต.อ.สรกฤช  ชุมหล่อ</t>
  </si>
  <si>
    <t>ร.ต.อ.กฤษณ  บัวหอม</t>
  </si>
  <si>
    <t>ร.ต.อ.ดุสิต   โชติสกุลแสงทอง</t>
  </si>
  <si>
    <t xml:space="preserve">ร.ต.อ.ไกรศักดิ์   เฉยฉิว </t>
  </si>
  <si>
    <t xml:space="preserve">ร.ต.อ.ประยงค์   อยู่สาโก </t>
  </si>
  <si>
    <t>ร.ต.อ.วุฒิพงษ์   กาสา</t>
  </si>
  <si>
    <t xml:space="preserve">ร.ต.อ.อนวัช   พรมปะ </t>
  </si>
  <si>
    <t xml:space="preserve">ร.ต.อ.สิทธา   ช่อเกตุ </t>
  </si>
  <si>
    <t xml:space="preserve">ร.ต.อ.คมเดช   ศรียางนอก </t>
  </si>
  <si>
    <t>พ.ต.ท.ชวลิต  อาจหาญ</t>
  </si>
  <si>
    <t>ร.ต.อ.สะไกร  ปิดสายะ</t>
  </si>
  <si>
    <t>ร.ต.อ.ปิยพล  อนันต์เอื้อ</t>
  </si>
  <si>
    <t>ร.ต.อ.ศิริชัย  ปลัดขวา</t>
  </si>
  <si>
    <t>ร.ต.อ.สุวสันต์  นาหาร</t>
  </si>
  <si>
    <t>ร.ต.อ.ศุภชาติ  โพธิจันทร์</t>
  </si>
  <si>
    <t>ร.ต.อ.จักริน  โสดาวิชิต</t>
  </si>
  <si>
    <t>ร.ต.อ.ธนากร  ภูขาว</t>
  </si>
  <si>
    <t>ร.ต.อ.วงศ์วริศ  ธรรมโกลัง</t>
  </si>
  <si>
    <t>พ.ต.ท.รุ่ง  เทียนอยู่</t>
  </si>
  <si>
    <t>พ.ต.ท.บุญนพ  คำมูล</t>
  </si>
  <si>
    <t>ร.ต.อ.ชาคลีรัตน์  ปาสร้อย</t>
  </si>
  <si>
    <t>ร.ต.อ.อนุกุล  จันทร์นุช</t>
  </si>
  <si>
    <t>ร.ต.อ.อุทัย  รอดอยู่</t>
  </si>
  <si>
    <t>ร.ต.อ.ธุวชิต  สอนศรี</t>
  </si>
  <si>
    <t>ร.ต.อ.อมร  เมืองแก้ว</t>
  </si>
  <si>
    <t>ร.ต.อ.พรชัย  ปิ่นชาลี</t>
  </si>
  <si>
    <t>ร.ต.ต.สันติพงษ์  แก้มกรม</t>
  </si>
  <si>
    <t>ร.ต.อ.วัฒนา  ศรีศิลป์</t>
  </si>
  <si>
    <t>ร.ต.อ.สัจจะ  สมกำลัง</t>
  </si>
  <si>
    <t>ร.ต.อ.อภิเชษฐ์  คีรีเพ็ชร</t>
  </si>
  <si>
    <t>ร.ต.อ.อนุรัตน์  ศรีมาลา</t>
  </si>
  <si>
    <t>ร.ต.อ.ธัชพล  มณีแสง</t>
  </si>
  <si>
    <t>ร้อยตำรวจเอก สุวพิชญ์  อินทร์สิงห์</t>
  </si>
  <si>
    <t>ร้อยตำรวจเอก โสภณ  คำเวียงจันทร์</t>
  </si>
  <si>
    <t>ร้อยตำรวจเอก มณฑล  แดงสมิง</t>
  </si>
  <si>
    <t>ร้อยตำรวจเอก ณภัทรพงษ์  ขันธะหัตถ์</t>
  </si>
  <si>
    <t>ร้อยตำรวจเอก สรกฤช  ชุมหล่อ</t>
  </si>
  <si>
    <t>ร้อยตำรวจเอก กฤษณ  บัวหอม</t>
  </si>
  <si>
    <t xml:space="preserve">ร้อยตำรวจเอก ไกรศักดิ์   เฉยฉิว </t>
  </si>
  <si>
    <t xml:space="preserve">ร้อยตำรวจเอก ประยงค์   อยู่สาโก </t>
  </si>
  <si>
    <t>ร้อยตำรวจเอก วุฒิพงษ์   กาสา</t>
  </si>
  <si>
    <t xml:space="preserve">ร้อยตำรวจเอก อนวัช   พรมปะ </t>
  </si>
  <si>
    <t xml:space="preserve">ร้อยตำรวจเอก สิทธา   ช่อเกตุ </t>
  </si>
  <si>
    <t xml:space="preserve">ร้อยตำรวจเอก คมเดช   ศรียางนอก </t>
  </si>
  <si>
    <t>ร้อยตำรวจเอก สะไกร  ปิดสายะ</t>
  </si>
  <si>
    <t>ร้อยตำรวจเอก ปิยพล  อนันต์เอื้อ</t>
  </si>
  <si>
    <t>ร้อยตำรวจเอก ศิริชัย  ปลัดขวา</t>
  </si>
  <si>
    <t>ร้อยตำรวจเอก สุวสันต์  นาหาร</t>
  </si>
  <si>
    <t>ร้อยตำรวจเอก ศุภชาติ  โพธิจันทร์</t>
  </si>
  <si>
    <t>ร้อยตำรวจเอก จักริน  โสดาวิชิต</t>
  </si>
  <si>
    <t>ร้อยตำรวจเอก ธนากร  ภูขาว</t>
  </si>
  <si>
    <t>ร้อยตำรวจเอก วงศ์วริศ  ธรรมโกลัง</t>
  </si>
  <si>
    <t>ร้อยตำรวจเอก ชาคลีรัตน์  ปาสร้อย</t>
  </si>
  <si>
    <t>ร้อยตำรวจเอก อุทัย  รอดอยู่</t>
  </si>
  <si>
    <t>ร้อยตำรวจเอก ธุวชิต  สอนศรี</t>
  </si>
  <si>
    <t>ร้อยตำรวจเอก อมร  เมืองแก้ว</t>
  </si>
  <si>
    <t>ร้อยตำรวจเอก พรชัย  ปิ่นชาลี</t>
  </si>
  <si>
    <t>ร้อยตำรวจเอก วัฒนา  ศรีศิลป์</t>
  </si>
  <si>
    <t>ร้อยตำรวจเอก สัจจะ  สมกำลัง</t>
  </si>
  <si>
    <t>ร้อยตำรวจเอก อภิเชษฐ์  คีรีเพ็ชร</t>
  </si>
  <si>
    <t>ร้อยตำรวจเอก อนุรัตน์  ศรีมาลา</t>
  </si>
  <si>
    <t>ร้อยตำรวจเอก ธัชพล  มณีแสง</t>
  </si>
  <si>
    <t>พันตำรวจตรี ณัฐพงษ์  กลิ่นลำยงค์</t>
  </si>
  <si>
    <t>พันตำรวจโท ณรัฐช์พงศ์  อุดมศรี</t>
  </si>
  <si>
    <t>พันตำรวจโท ชวลิต  อาจหาญ</t>
  </si>
  <si>
    <t>พันตำรวจโท รุ่ง  เทียนอยู่</t>
  </si>
  <si>
    <t>พันตำรวจโท บุญนพ  คำมูล</t>
  </si>
  <si>
    <t>ร้อยตำรวจเอก สมชาติ  มีความเจริญ</t>
  </si>
  <si>
    <t>ร้อยตำรวจเอก ยงยุทธ  กองทอง</t>
  </si>
  <si>
    <t>พันตำรวจโท อาทิตย์   ธรรมสุนา</t>
  </si>
  <si>
    <t>พันตำรวจตรี เนติวุธ  สุดหนองบัว</t>
  </si>
  <si>
    <t>ร้อยตำรวจเอก อนุกูล  จันทร์นุช</t>
  </si>
  <si>
    <t>ร้อยตำรวจตรี สันติพงษ์  แก้วกรม</t>
  </si>
  <si>
    <t>ร้อยตำรวจเอก มนตรี  พรหมแก้ว</t>
  </si>
  <si>
    <t>ร้อยตำรวจเอก หัตพัต  ใจโปร่ง</t>
  </si>
  <si>
    <t>ร้อยตำรวจเอก เศรษฐพงศ์  สุกกระ</t>
  </si>
  <si>
    <t>ร้อยตำรวจเอก สุวิศิษฏ์  คีรีรักษ์</t>
  </si>
  <si>
    <t>ร้อยตำรวจเอก ไกรวุฒิ  แก้วภิรมย์</t>
  </si>
  <si>
    <t>ร้อยตำรวจโท กฤษฎา  ซอประเสริฐ</t>
  </si>
  <si>
    <t>ไกรวุฒิ</t>
  </si>
  <si>
    <t>แก้วภิรมย์</t>
  </si>
  <si>
    <t>ภ.จว.นนทบุรี</t>
  </si>
  <si>
    <t>รอง สวป.สภ.ปากเกร็ด ภ.จว.นนทบุรี</t>
  </si>
  <si>
    <t>085-9639068</t>
  </si>
  <si>
    <t>กฤษฎา</t>
  </si>
  <si>
    <t>ซอประเสริฐ</t>
  </si>
  <si>
    <t>094-4818578</t>
  </si>
  <si>
    <t>มีความเจริญ</t>
  </si>
  <si>
    <t>080-3939488</t>
  </si>
  <si>
    <t xml:space="preserve">จักรพันธุ์ </t>
  </si>
  <si>
    <t xml:space="preserve">รอง สว.จร.สภ.บางน้ำเปรี้ยว จว.ฉะเชิงเทรา </t>
  </si>
  <si>
    <t>ยงยุทธ</t>
  </si>
  <si>
    <t>กองทอง</t>
  </si>
  <si>
    <t>รอง สวป.สภ.ห้วยใหญ่ ภ.จว.ชลบุรี</t>
  </si>
  <si>
    <t>081-1424369</t>
  </si>
  <si>
    <t>095-7475356</t>
  </si>
  <si>
    <t>เนติวุธ</t>
  </si>
  <si>
    <t>รอง สวป.สภ.รัตนะวาปี ภ.จว.หนองคาย</t>
  </si>
  <si>
    <t>093-5195035</t>
  </si>
  <si>
    <t>081-8364725</t>
  </si>
  <si>
    <t>สีลินลี</t>
  </si>
  <si>
    <t>มนตรี</t>
  </si>
  <si>
    <t>พรหมแก้ว</t>
  </si>
  <si>
    <t>หัตพัต</t>
  </si>
  <si>
    <t>ใจโปร่ง</t>
  </si>
  <si>
    <t>เศรษฐพงศ์</t>
  </si>
  <si>
    <t>สุกกระ</t>
  </si>
  <si>
    <t>รอง สว.กก.สส.ภ.จว.นครศรีธรรมราช</t>
  </si>
  <si>
    <t>รอง สวป.สภ.อ่าวนาง ภ.จว.กระบี่</t>
  </si>
  <si>
    <t>สุวิศิษฏ์</t>
  </si>
  <si>
    <t>ร.ต.อ.สมชาติ  มีความเจริญ</t>
  </si>
  <si>
    <t>ร.ต.ท.กฤษฎา  ซอประเสริฐ</t>
  </si>
  <si>
    <t xml:space="preserve">ร.ต.ท.จักรพันธุ์   พันธุ์มณี </t>
  </si>
  <si>
    <t>ร.ต.อ.ยงยุทธ  กองทอง</t>
  </si>
  <si>
    <t>พ.ต.ท.อาทิตย์   ธรรมสุนา</t>
  </si>
  <si>
    <t>พ.ต.ต.เนติวุธ  สุดหนองบัว</t>
  </si>
  <si>
    <t>ร.ต.อ.วีรพงศ์  สีลินลี</t>
  </si>
  <si>
    <t>ร.ต.อ.ไกรวุฒิ  แก้วภิรมย์</t>
  </si>
  <si>
    <t>ร.ต.อ.มนตรี  พรหมแก้ว</t>
  </si>
  <si>
    <t>ร.ต.อ.หัตพัต  ใจโปร่ง</t>
  </si>
  <si>
    <t>ร.ต.อ.เศรษฐพงศ์  สุกกระ</t>
  </si>
  <si>
    <t>ร.ต.อ.สุวิศิษฏ์  คีรีรักษ์</t>
  </si>
  <si>
    <t>วันที่  2 สิงหาคม  2562</t>
  </si>
  <si>
    <t>พ.ต.ต.ณัฐพงษ์  กลิ่นลำยงค์/น้อย</t>
  </si>
  <si>
    <t>ร.ต.อ.สมชาติ  มีความเจริญ/ชาติ</t>
  </si>
  <si>
    <t>ร.ต.อ.สุวพิชญ์  อินทร์สิงห์/พิช</t>
  </si>
  <si>
    <t>ร.ต.อ.โสภณ  คำเวียงจันทร์/ปิ๊ก</t>
  </si>
  <si>
    <t>ร.ต.อ.มณฑล  แดงสมิง/แดง</t>
  </si>
  <si>
    <t>ร.ต.อ.ณภัทรพงษ์  ขันธะหัตถ์/พงษ์</t>
  </si>
  <si>
    <t>พ.ต.ท.ณรัฐช์พงศ์  อุดมศรี/ต้อม</t>
  </si>
  <si>
    <t>ร.ต.ท.กฤษฎา  ซอประเสริฐ/จี๊</t>
  </si>
  <si>
    <t>ร.ต.อ.สรกฤช  ชุมหล่อ/พงศ์</t>
  </si>
  <si>
    <t>ร.ต.อ.กฤษณ  บัวหอม/ตุ้ม</t>
  </si>
  <si>
    <t>ร.ต.ท.จักรพันธุ์   พันธุ์มณี /หนึ่ง</t>
  </si>
  <si>
    <t>ร.ต.อ.ดุสิต   โชติสกุลแสงทอง/ดุ</t>
  </si>
  <si>
    <t>ร.ต.อ.ไกรศักดิ์   เฉยฉิว /ศักดิ์</t>
  </si>
  <si>
    <t>ร.ต.อ.ประยงค์   อยู่สาโก /ยงค์</t>
  </si>
  <si>
    <t>ร.ต.อ.วุฒิพงษ์   กาสา/อู๊ด</t>
  </si>
  <si>
    <t>ร.ต.อ.ยงยุทธ  กองทอง/ยุทธ</t>
  </si>
  <si>
    <t>พ.ต.ท.อาทิตย์   ธรรมสุนา/ท๊อป</t>
  </si>
  <si>
    <t>ร.ต.อ.อนวัช   พรมปะ /วัช</t>
  </si>
  <si>
    <t>ร.ต.อ.สิทธา   ช่อเกตุ /แหลม</t>
  </si>
  <si>
    <t>ร.ต.อ.คมเดช   ศรียางนอก /ยศ</t>
  </si>
  <si>
    <t>พ.ต.ท.ชวลิต  อาจหาญ/กั้ง</t>
  </si>
  <si>
    <t>พ.ต.ต.เนติวุธ  สุดหนองบัว/เน</t>
  </si>
  <si>
    <t>ร.ต.อ.สะไกร  ปิดสายะ/ไกร</t>
  </si>
  <si>
    <t>ร.ต.อ.ปิยพล  อนันต์เอื้อ/ต๋อง</t>
  </si>
  <si>
    <t>ร.ต.อ.ศิริชัย  ปลัดขวา/เม้า</t>
  </si>
  <si>
    <t>ร.ต.อ.สุวสันต์  นาหาร/เสือ</t>
  </si>
  <si>
    <t>ร.ต.อ.ศุภชาติ  โพธิจันทร์/ชาติ</t>
  </si>
  <si>
    <t>ร.ต.อ.จักริน  โสดาวิชิต/โทน</t>
  </si>
  <si>
    <t>ร.ต.อ.ธนากร  ภูขาว/โบ้</t>
  </si>
  <si>
    <t>ร.ต.อ.วงศ์วริศ  ธรรมโกลัง/เปา</t>
  </si>
  <si>
    <t>พ.ต.ท.บุญนพ  คำมูล/นพ</t>
  </si>
  <si>
    <t>ร.ต.อ.วีรพงศ์  สีลินลี/วี</t>
  </si>
  <si>
    <t>ร.ต.อ.ชาคลีรัตน์  ปาสร้อย/โอโต๋</t>
  </si>
  <si>
    <t>ร.ต.อ.อนุกุล  จันทร์นุช/นุ</t>
  </si>
  <si>
    <t>ร.ต.อ.อุทัย  รอดอยู่/ทัย</t>
  </si>
  <si>
    <t>ร.ต.อ.ธุวชิต  สอนศรี/ชิต</t>
  </si>
  <si>
    <t>ร.ต.อ.อมร  เมืองแก้ว/มอน</t>
  </si>
  <si>
    <t>ร.ต.อ.พรชัย  ปิ่นชาลี/โล่</t>
  </si>
  <si>
    <t>ร.ต.ต.สันติพงษ์  แก้มกรม/พงษ์</t>
  </si>
  <si>
    <t>ร.ต.อ.วัฒนา  ศรีศิลป์/เจี๊ยบ</t>
  </si>
  <si>
    <t>ร.ต.อ.มนตรี  พรหมแก้ว/มน</t>
  </si>
  <si>
    <t>ร.ต.อ.หัตพัต  ใจโปร่ง/เอ็ม</t>
  </si>
  <si>
    <t>ร.ต.อ.เศรษฐพงศ์  สุกกระ/เส</t>
  </si>
  <si>
    <t>ร.ต.อ.สัจจะ  สมกำลัง/จะ</t>
  </si>
  <si>
    <t>ร.ต.อ.สุวิศิษฏ์  คีรีรักษ์/เอก</t>
  </si>
  <si>
    <t>ร.ต.อ.อภิเชษฐ์  คีรีเพ็ชร/เชษฐ์</t>
  </si>
  <si>
    <t>ร.ต.อ.อนุรัตน์  ศรีมาลา/ตู่</t>
  </si>
  <si>
    <t>ร.ต.อ.ธัชพล  มณีแสง/ธัช</t>
  </si>
  <si>
    <t>ปรับพื้นฐานยุทธวิธีตำรวจระดับครูฝึก(สัญญาบัตร) รุ่นที่2</t>
  </si>
  <si>
    <t>ร้อยตำรวจเอก ดุสิต  โชติสกุลแสงทอง</t>
  </si>
  <si>
    <t xml:space="preserve">ร้อยตำรวจโท จักรพันธุ์  พันธุ์มณี </t>
  </si>
  <si>
    <t>ร้อยตำรวจเอก วีรพงค์  สีลินลี</t>
  </si>
  <si>
    <t>วีรพงค์</t>
  </si>
</sst>
</file>

<file path=xl/styles.xml><?xml version="1.0" encoding="utf-8"?>
<styleSheet xmlns="http://schemas.openxmlformats.org/spreadsheetml/2006/main">
  <numFmts count="1">
    <numFmt numFmtId="187" formatCode="d\ mmm"/>
  </numFmts>
  <fonts count="56">
    <font>
      <sz val="11"/>
      <color theme="1"/>
      <name val="Tahoma"/>
      <family val="2"/>
      <charset val="222"/>
      <scheme val="minor"/>
    </font>
    <font>
      <sz val="16"/>
      <color theme="1"/>
      <name val="TH SarabunIT๙"/>
      <family val="2"/>
    </font>
    <font>
      <b/>
      <sz val="16"/>
      <color theme="1"/>
      <name val="TH SarabunIT๙"/>
      <family val="2"/>
    </font>
    <font>
      <sz val="16"/>
      <name val="TH SarabunIT๙"/>
      <family val="2"/>
    </font>
    <font>
      <sz val="16"/>
      <color rgb="FFFF0000"/>
      <name val="TH SarabunIT๙"/>
      <family val="2"/>
    </font>
    <font>
      <b/>
      <sz val="16"/>
      <color rgb="FFFF0000"/>
      <name val="TH SarabunIT๙"/>
      <family val="2"/>
    </font>
    <font>
      <sz val="11"/>
      <color theme="1"/>
      <name val="Tahoma"/>
      <family val="2"/>
      <scheme val="minor"/>
    </font>
    <font>
      <sz val="11"/>
      <color theme="1"/>
      <name val="TH SarabunIT๙"/>
      <family val="2"/>
    </font>
    <font>
      <sz val="16"/>
      <color indexed="8"/>
      <name val="TH SarabunIT๙"/>
      <family val="2"/>
    </font>
    <font>
      <sz val="11"/>
      <color rgb="FFFF0000"/>
      <name val="TH SarabunIT๙"/>
      <family val="2"/>
    </font>
    <font>
      <b/>
      <sz val="28"/>
      <color theme="1"/>
      <name val="TH SarabunIT๙"/>
      <family val="2"/>
    </font>
    <font>
      <b/>
      <sz val="20"/>
      <color theme="1"/>
      <name val="TH SarabunIT๙"/>
      <family val="2"/>
    </font>
    <font>
      <b/>
      <sz val="11"/>
      <color theme="1"/>
      <name val="TH SarabunIT๙"/>
      <family val="2"/>
    </font>
    <font>
      <sz val="28"/>
      <color theme="1"/>
      <name val="TH SarabunIT๙"/>
      <family val="2"/>
    </font>
    <font>
      <b/>
      <sz val="20"/>
      <name val="TH SarabunIT๙"/>
      <family val="2"/>
    </font>
    <font>
      <sz val="16"/>
      <color rgb="FFFF66FF"/>
      <name val="TH SarabunIT๙"/>
      <family val="2"/>
    </font>
    <font>
      <b/>
      <sz val="30"/>
      <color theme="1"/>
      <name val="TH SarabunIT๙"/>
      <family val="2"/>
    </font>
    <font>
      <b/>
      <sz val="16"/>
      <name val="TH SarabunIT๙"/>
      <family val="2"/>
    </font>
    <font>
      <sz val="11"/>
      <name val="Tahoma"/>
      <family val="2"/>
      <charset val="222"/>
      <scheme val="minor"/>
    </font>
    <font>
      <b/>
      <sz val="23"/>
      <color theme="1"/>
      <name val="TH SarabunIT๙"/>
      <family val="2"/>
    </font>
    <font>
      <sz val="23"/>
      <color theme="1"/>
      <name val="Tahoma"/>
      <family val="2"/>
      <charset val="222"/>
      <scheme val="minor"/>
    </font>
    <font>
      <b/>
      <sz val="23"/>
      <color theme="1"/>
      <name val="Tahoma"/>
      <family val="2"/>
      <charset val="222"/>
      <scheme val="minor"/>
    </font>
    <font>
      <b/>
      <sz val="25"/>
      <name val="TH SarabunIT๙"/>
      <family val="2"/>
    </font>
    <font>
      <b/>
      <sz val="25"/>
      <color rgb="FFFF0000"/>
      <name val="TH SarabunIT๙"/>
      <family val="2"/>
    </font>
    <font>
      <b/>
      <sz val="22"/>
      <name val="TH SarabunIT๙"/>
      <family val="2"/>
    </font>
    <font>
      <b/>
      <sz val="17"/>
      <color rgb="FF0000FF"/>
      <name val="TH Niramit AS"/>
    </font>
    <font>
      <b/>
      <sz val="17"/>
      <name val="TH Niramit AS"/>
    </font>
    <font>
      <b/>
      <sz val="17"/>
      <color theme="1"/>
      <name val="TH Niramit AS"/>
    </font>
    <font>
      <b/>
      <sz val="20"/>
      <color rgb="FF0000FF"/>
      <name val="TH Niramit AS"/>
    </font>
    <font>
      <b/>
      <sz val="22"/>
      <color theme="1"/>
      <name val="TH SarabunIT๙"/>
      <family val="2"/>
    </font>
    <font>
      <b/>
      <sz val="30"/>
      <color rgb="FF0000FF"/>
      <name val="TH SarabunIT๙"/>
      <family val="2"/>
    </font>
    <font>
      <b/>
      <sz val="18"/>
      <color theme="1"/>
      <name val="TH SarabunIT๙"/>
      <family val="2"/>
    </font>
    <font>
      <b/>
      <sz val="16"/>
      <color rgb="FF0000FF"/>
      <name val="TH SarabunIT๙"/>
      <family val="2"/>
    </font>
    <font>
      <b/>
      <i/>
      <sz val="16"/>
      <color rgb="FFFF0000"/>
      <name val="TH SarabunIT๙"/>
      <family val="2"/>
    </font>
    <font>
      <sz val="20"/>
      <color theme="1"/>
      <name val="Tahoma"/>
      <family val="2"/>
      <charset val="222"/>
      <scheme val="minor"/>
    </font>
    <font>
      <b/>
      <i/>
      <sz val="17"/>
      <color theme="1"/>
      <name val="TH Niramit AS"/>
    </font>
    <font>
      <b/>
      <sz val="16"/>
      <color theme="1"/>
      <name val="TH Niramit AS"/>
    </font>
    <font>
      <sz val="16"/>
      <color theme="1"/>
      <name val="TH Niramit AS"/>
    </font>
    <font>
      <b/>
      <sz val="20"/>
      <color rgb="FF0000FF"/>
      <name val="TH SarabunIT๙"/>
      <family val="2"/>
    </font>
    <font>
      <b/>
      <sz val="18"/>
      <color rgb="FF0000FF"/>
      <name val="TH SarabunIT๙"/>
      <family val="2"/>
    </font>
    <font>
      <sz val="16"/>
      <color theme="1"/>
      <name val="Tahoma"/>
      <family val="2"/>
      <charset val="222"/>
      <scheme val="minor"/>
    </font>
    <font>
      <b/>
      <sz val="17"/>
      <name val="TH SarabunIT๙"/>
      <family val="2"/>
    </font>
    <font>
      <b/>
      <sz val="17"/>
      <color rgb="FFFF0000"/>
      <name val="TH SarabunIT๙"/>
      <family val="2"/>
    </font>
    <font>
      <b/>
      <sz val="30"/>
      <color rgb="FFFF0000"/>
      <name val="TH SarabunIT๙"/>
      <family val="2"/>
    </font>
    <font>
      <sz val="13"/>
      <name val="TH SarabunIT๙"/>
      <family val="2"/>
    </font>
    <font>
      <sz val="13"/>
      <color theme="1"/>
      <name val="TH SarabunIT๙"/>
      <family val="2"/>
    </font>
    <font>
      <b/>
      <sz val="15"/>
      <name val="TH SarabunIT๙"/>
      <family val="2"/>
    </font>
    <font>
      <sz val="15"/>
      <name val="TH SarabunIT๙"/>
      <family val="2"/>
    </font>
    <font>
      <b/>
      <sz val="18"/>
      <color rgb="FFFF0000"/>
      <name val="TH SarabunIT๙"/>
      <family val="2"/>
    </font>
    <font>
      <b/>
      <sz val="13"/>
      <name val="TH SarabunIT๙"/>
      <family val="2"/>
    </font>
    <font>
      <b/>
      <sz val="30"/>
      <name val="TH SarabunIT๙"/>
      <family val="2"/>
    </font>
    <font>
      <sz val="30"/>
      <name val="TH SarabunIT๙"/>
      <family val="2"/>
    </font>
    <font>
      <b/>
      <sz val="18"/>
      <name val="TH SarabunIT๙"/>
      <family val="2"/>
    </font>
    <font>
      <sz val="18"/>
      <name val="TH SarabunIT๙"/>
      <family val="2"/>
    </font>
    <font>
      <sz val="11"/>
      <name val="TH SarabunIT๙"/>
      <family val="2"/>
    </font>
    <font>
      <b/>
      <sz val="11"/>
      <name val="TH SarabunIT๙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/>
  </cellStyleXfs>
  <cellXfs count="363">
    <xf numFmtId="0" fontId="0" fillId="0" borderId="0" xfId="0"/>
    <xf numFmtId="0" fontId="7" fillId="2" borderId="0" xfId="0" applyFont="1" applyFill="1"/>
    <xf numFmtId="0" fontId="1" fillId="2" borderId="0" xfId="0" applyFont="1" applyFill="1"/>
    <xf numFmtId="59" fontId="1" fillId="2" borderId="0" xfId="0" applyNumberFormat="1" applyFont="1" applyFill="1" applyBorder="1" applyAlignment="1">
      <alignment horizontal="center" vertical="center"/>
    </xf>
    <xf numFmtId="59" fontId="1" fillId="2" borderId="1" xfId="0" applyNumberFormat="1" applyFont="1" applyFill="1" applyBorder="1" applyAlignment="1">
      <alignment horizontal="center"/>
    </xf>
    <xf numFmtId="59" fontId="1" fillId="0" borderId="1" xfId="0" applyNumberFormat="1" applyFont="1" applyBorder="1" applyAlignment="1">
      <alignment horizontal="center"/>
    </xf>
    <xf numFmtId="5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9" fillId="2" borderId="0" xfId="0" applyFont="1" applyFill="1"/>
    <xf numFmtId="59" fontId="1" fillId="0" borderId="13" xfId="0" applyNumberFormat="1" applyFont="1" applyFill="1" applyBorder="1" applyAlignment="1">
      <alignment horizontal="center"/>
    </xf>
    <xf numFmtId="59" fontId="1" fillId="0" borderId="13" xfId="0" applyNumberFormat="1" applyFont="1" applyBorder="1" applyAlignment="1">
      <alignment horizontal="center" vertical="center"/>
    </xf>
    <xf numFmtId="59" fontId="1" fillId="0" borderId="13" xfId="0" applyNumberFormat="1" applyFont="1" applyBorder="1" applyAlignment="1">
      <alignment horizontal="center"/>
    </xf>
    <xf numFmtId="0" fontId="7" fillId="0" borderId="0" xfId="0" applyFont="1"/>
    <xf numFmtId="59" fontId="1" fillId="0" borderId="20" xfId="0" applyNumberFormat="1" applyFont="1" applyBorder="1" applyAlignment="1">
      <alignment vertical="top"/>
    </xf>
    <xf numFmtId="59" fontId="3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59" fontId="4" fillId="0" borderId="1" xfId="0" applyNumberFormat="1" applyFont="1" applyBorder="1" applyAlignment="1">
      <alignment horizontal="center" vertical="center"/>
    </xf>
    <xf numFmtId="0" fontId="7" fillId="0" borderId="17" xfId="0" applyFont="1" applyBorder="1" applyAlignment="1"/>
    <xf numFmtId="0" fontId="7" fillId="0" borderId="18" xfId="0" applyFont="1" applyBorder="1" applyAlignment="1"/>
    <xf numFmtId="0" fontId="7" fillId="0" borderId="0" xfId="0" applyFont="1" applyBorder="1" applyAlignment="1"/>
    <xf numFmtId="0" fontId="7" fillId="0" borderId="20" xfId="0" applyFont="1" applyBorder="1" applyAlignment="1"/>
    <xf numFmtId="59" fontId="1" fillId="0" borderId="0" xfId="0" applyNumberFormat="1" applyFont="1" applyBorder="1" applyAlignment="1">
      <alignment vertical="top"/>
    </xf>
    <xf numFmtId="0" fontId="10" fillId="0" borderId="0" xfId="0" applyFont="1" applyBorder="1" applyAlignment="1"/>
    <xf numFmtId="0" fontId="10" fillId="0" borderId="20" xfId="0" applyFont="1" applyBorder="1" applyAlignment="1"/>
    <xf numFmtId="59" fontId="10" fillId="0" borderId="0" xfId="0" applyNumberFormat="1" applyFont="1" applyBorder="1" applyAlignment="1">
      <alignment vertical="top"/>
    </xf>
    <xf numFmtId="59" fontId="10" fillId="0" borderId="0" xfId="0" applyNumberFormat="1" applyFont="1" applyBorder="1" applyAlignment="1">
      <alignment vertical="center"/>
    </xf>
    <xf numFmtId="59" fontId="10" fillId="0" borderId="20" xfId="0" applyNumberFormat="1" applyFont="1" applyBorder="1" applyAlignment="1">
      <alignment vertical="center"/>
    </xf>
    <xf numFmtId="59" fontId="3" fillId="0" borderId="1" xfId="0" applyNumberFormat="1" applyFont="1" applyBorder="1" applyAlignment="1">
      <alignment horizontal="center" vertical="top"/>
    </xf>
    <xf numFmtId="59" fontId="3" fillId="0" borderId="13" xfId="0" applyNumberFormat="1" applyFont="1" applyBorder="1" applyAlignment="1">
      <alignment horizontal="center"/>
    </xf>
    <xf numFmtId="59" fontId="3" fillId="0" borderId="13" xfId="0" applyNumberFormat="1" applyFont="1" applyBorder="1" applyAlignment="1">
      <alignment horizontal="center" vertical="center"/>
    </xf>
    <xf numFmtId="59" fontId="3" fillId="0" borderId="13" xfId="0" applyNumberFormat="1" applyFont="1" applyFill="1" applyBorder="1" applyAlignment="1">
      <alignment horizontal="center"/>
    </xf>
    <xf numFmtId="59" fontId="3" fillId="2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5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59" fontId="15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7" fillId="2" borderId="1" xfId="0" applyFont="1" applyFill="1" applyBorder="1"/>
    <xf numFmtId="59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8" fillId="0" borderId="0" xfId="0" applyFont="1"/>
    <xf numFmtId="0" fontId="2" fillId="0" borderId="13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7" fillId="0" borderId="0" xfId="0" applyFont="1" applyAlignment="1"/>
    <xf numFmtId="0" fontId="2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shrinkToFit="1"/>
    </xf>
    <xf numFmtId="0" fontId="2" fillId="2" borderId="2" xfId="0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17" fillId="0" borderId="1" xfId="0" applyFont="1" applyBorder="1" applyAlignment="1">
      <alignment horizontal="center" shrinkToFit="1"/>
    </xf>
    <xf numFmtId="0" fontId="3" fillId="0" borderId="0" xfId="0" applyFont="1" applyAlignment="1">
      <alignment shrinkToFit="1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vertical="center"/>
    </xf>
    <xf numFmtId="0" fontId="3" fillId="0" borderId="3" xfId="0" applyFont="1" applyBorder="1"/>
    <xf numFmtId="49" fontId="7" fillId="2" borderId="0" xfId="0" applyNumberFormat="1" applyFont="1" applyFill="1"/>
    <xf numFmtId="59" fontId="2" fillId="2" borderId="0" xfId="0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59" fontId="3" fillId="0" borderId="1" xfId="0" applyNumberFormat="1" applyFont="1" applyFill="1" applyBorder="1" applyAlignment="1">
      <alignment horizontal="center" vertical="center"/>
    </xf>
    <xf numFmtId="5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59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59" fontId="29" fillId="0" borderId="1" xfId="0" applyNumberFormat="1" applyFont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/>
    </xf>
    <xf numFmtId="0" fontId="24" fillId="0" borderId="1" xfId="0" applyFont="1" applyBorder="1"/>
    <xf numFmtId="0" fontId="12" fillId="2" borderId="0" xfId="0" applyFont="1" applyFill="1" applyAlignment="1">
      <alignment vertical="center"/>
    </xf>
    <xf numFmtId="59" fontId="2" fillId="0" borderId="1" xfId="0" applyNumberFormat="1" applyFont="1" applyBorder="1" applyAlignment="1">
      <alignment horizontal="center" vertical="top"/>
    </xf>
    <xf numFmtId="59" fontId="2" fillId="0" borderId="1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left" shrinkToFit="1"/>
    </xf>
    <xf numFmtId="0" fontId="27" fillId="0" borderId="0" xfId="0" applyNumberFormat="1" applyFont="1" applyAlignment="1">
      <alignment vertical="center" shrinkToFit="1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shrinkToFit="1"/>
    </xf>
    <xf numFmtId="0" fontId="17" fillId="0" borderId="1" xfId="0" applyNumberFormat="1" applyFont="1" applyBorder="1" applyAlignment="1">
      <alignment horizontal="center"/>
    </xf>
    <xf numFmtId="0" fontId="3" fillId="0" borderId="0" xfId="0" applyNumberFormat="1" applyFont="1"/>
    <xf numFmtId="0" fontId="17" fillId="0" borderId="0" xfId="0" applyFont="1"/>
    <xf numFmtId="0" fontId="3" fillId="0" borderId="0" xfId="0" applyFont="1" applyAlignment="1">
      <alignment horizontal="center" shrinkToFit="1"/>
    </xf>
    <xf numFmtId="0" fontId="17" fillId="0" borderId="1" xfId="0" applyFont="1" applyBorder="1" applyAlignment="1">
      <alignment horizontal="center" vertical="center" shrinkToFit="1"/>
    </xf>
    <xf numFmtId="0" fontId="3" fillId="0" borderId="2" xfId="0" applyFont="1" applyBorder="1"/>
    <xf numFmtId="0" fontId="3" fillId="0" borderId="4" xfId="0" applyFont="1" applyBorder="1"/>
    <xf numFmtId="0" fontId="29" fillId="2" borderId="2" xfId="0" applyFont="1" applyFill="1" applyBorder="1" applyAlignment="1">
      <alignment horizontal="left" vertical="center" shrinkToFit="1"/>
    </xf>
    <xf numFmtId="59" fontId="29" fillId="2" borderId="0" xfId="0" applyNumberFormat="1" applyFont="1" applyFill="1" applyBorder="1" applyAlignment="1">
      <alignment horizontal="center" vertical="center" shrinkToFit="1"/>
    </xf>
    <xf numFmtId="59" fontId="29" fillId="2" borderId="0" xfId="0" applyNumberFormat="1" applyFont="1" applyFill="1" applyBorder="1" applyAlignment="1">
      <alignment vertical="center"/>
    </xf>
    <xf numFmtId="0" fontId="29" fillId="2" borderId="0" xfId="0" applyFont="1" applyFill="1" applyBorder="1" applyAlignment="1">
      <alignment horizontal="center" vertical="center" shrinkToFit="1"/>
    </xf>
    <xf numFmtId="0" fontId="29" fillId="2" borderId="0" xfId="0" applyFont="1" applyFill="1" applyAlignment="1">
      <alignment vertical="center" shrinkToFit="1"/>
    </xf>
    <xf numFmtId="0" fontId="17" fillId="0" borderId="1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59" fontId="11" fillId="0" borderId="1" xfId="0" applyNumberFormat="1" applyFont="1" applyBorder="1" applyAlignment="1">
      <alignment horizontal="center" vertical="center" shrinkToFit="1"/>
    </xf>
    <xf numFmtId="0" fontId="34" fillId="0" borderId="0" xfId="0" applyFont="1"/>
    <xf numFmtId="0" fontId="27" fillId="0" borderId="0" xfId="0" applyNumberFormat="1" applyFont="1" applyAlignment="1">
      <alignment horizontal="left" vertical="center" shrinkToFit="1"/>
    </xf>
    <xf numFmtId="0" fontId="27" fillId="0" borderId="15" xfId="0" applyNumberFormat="1" applyFont="1" applyBorder="1" applyAlignment="1">
      <alignment vertical="center" shrinkToFit="1"/>
    </xf>
    <xf numFmtId="0" fontId="27" fillId="0" borderId="14" xfId="0" applyNumberFormat="1" applyFont="1" applyBorder="1" applyAlignment="1">
      <alignment vertical="center" shrinkToFit="1"/>
    </xf>
    <xf numFmtId="0" fontId="27" fillId="0" borderId="13" xfId="0" applyNumberFormat="1" applyFont="1" applyBorder="1" applyAlignment="1">
      <alignment vertical="center" shrinkToFit="1"/>
    </xf>
    <xf numFmtId="0" fontId="27" fillId="0" borderId="0" xfId="0" applyNumberFormat="1" applyFont="1" applyBorder="1" applyAlignment="1">
      <alignment horizontal="right" vertical="center" shrinkToFit="1"/>
    </xf>
    <xf numFmtId="0" fontId="27" fillId="0" borderId="0" xfId="0" applyNumberFormat="1" applyFont="1" applyBorder="1" applyAlignment="1">
      <alignment vertical="center" shrinkToFit="1"/>
    </xf>
    <xf numFmtId="0" fontId="27" fillId="0" borderId="0" xfId="0" applyNumberFormat="1" applyFont="1" applyBorder="1" applyAlignment="1">
      <alignment horizontal="left" vertical="center" shrinkToFit="1"/>
    </xf>
    <xf numFmtId="0" fontId="35" fillId="0" borderId="0" xfId="0" applyNumberFormat="1" applyFont="1" applyAlignment="1">
      <alignment vertical="center" shrinkToFit="1"/>
    </xf>
    <xf numFmtId="0" fontId="35" fillId="0" borderId="0" xfId="0" applyNumberFormat="1" applyFont="1" applyBorder="1" applyAlignment="1">
      <alignment vertical="center" shrinkToFit="1"/>
    </xf>
    <xf numFmtId="0" fontId="36" fillId="2" borderId="1" xfId="0" applyNumberFormat="1" applyFont="1" applyFill="1" applyBorder="1" applyAlignment="1">
      <alignment horizontal="center"/>
    </xf>
    <xf numFmtId="0" fontId="37" fillId="2" borderId="0" xfId="0" applyNumberFormat="1" applyFont="1" applyFill="1" applyAlignment="1">
      <alignment horizontal="right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38" fillId="0" borderId="0" xfId="0" applyFont="1" applyBorder="1" applyAlignment="1">
      <alignment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 shrinkToFit="1"/>
    </xf>
    <xf numFmtId="0" fontId="1" fillId="2" borderId="0" xfId="0" applyFont="1" applyFill="1" applyBorder="1" applyAlignment="1">
      <alignment horizontal="left" vertical="center"/>
    </xf>
    <xf numFmtId="0" fontId="7" fillId="2" borderId="0" xfId="0" applyFont="1" applyFill="1" applyBorder="1"/>
    <xf numFmtId="0" fontId="1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 shrinkToFit="1"/>
    </xf>
    <xf numFmtId="0" fontId="1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 shrinkToFit="1"/>
    </xf>
    <xf numFmtId="0" fontId="1" fillId="0" borderId="4" xfId="0" applyFont="1" applyBorder="1" applyAlignment="1">
      <alignment vertical="center" shrinkToFi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 vertical="center" shrinkToFit="1"/>
    </xf>
    <xf numFmtId="59" fontId="3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vertical="center" shrinkToFit="1"/>
    </xf>
    <xf numFmtId="0" fontId="1" fillId="0" borderId="4" xfId="0" applyFont="1" applyBorder="1" applyAlignment="1">
      <alignment horizontal="left" vertical="center" shrinkToFit="1"/>
    </xf>
    <xf numFmtId="0" fontId="1" fillId="0" borderId="8" xfId="0" applyFont="1" applyBorder="1" applyAlignment="1">
      <alignment vertical="center" shrinkToFit="1"/>
    </xf>
    <xf numFmtId="0" fontId="3" fillId="0" borderId="4" xfId="0" applyFont="1" applyBorder="1" applyAlignment="1">
      <alignment horizontal="left" vertical="center" shrinkToFit="1"/>
    </xf>
    <xf numFmtId="0" fontId="1" fillId="0" borderId="0" xfId="0" applyFont="1" applyBorder="1" applyAlignment="1">
      <alignment vertical="center"/>
    </xf>
    <xf numFmtId="59" fontId="44" fillId="2" borderId="2" xfId="0" applyNumberFormat="1" applyFont="1" applyFill="1" applyBorder="1" applyAlignment="1">
      <alignment horizontal="center"/>
    </xf>
    <xf numFmtId="0" fontId="44" fillId="2" borderId="1" xfId="0" applyFont="1" applyFill="1" applyBorder="1" applyAlignment="1">
      <alignment shrinkToFit="1"/>
    </xf>
    <xf numFmtId="0" fontId="44" fillId="2" borderId="4" xfId="0" applyFont="1" applyFill="1" applyBorder="1" applyAlignment="1">
      <alignment shrinkToFit="1"/>
    </xf>
    <xf numFmtId="49" fontId="44" fillId="2" borderId="1" xfId="0" applyNumberFormat="1" applyFont="1" applyFill="1" applyBorder="1" applyAlignment="1">
      <alignment horizontal="center" shrinkToFit="1"/>
    </xf>
    <xf numFmtId="0" fontId="44" fillId="0" borderId="1" xfId="0" applyFont="1" applyBorder="1" applyAlignment="1">
      <alignment shrinkToFit="1"/>
    </xf>
    <xf numFmtId="0" fontId="44" fillId="0" borderId="0" xfId="0" applyFont="1"/>
    <xf numFmtId="0" fontId="44" fillId="2" borderId="1" xfId="0" applyFont="1" applyFill="1" applyBorder="1" applyAlignment="1">
      <alignment horizontal="center" shrinkToFit="1"/>
    </xf>
    <xf numFmtId="59" fontId="44" fillId="0" borderId="2" xfId="0" applyNumberFormat="1" applyFont="1" applyBorder="1" applyAlignment="1">
      <alignment horizontal="center"/>
    </xf>
    <xf numFmtId="0" fontId="45" fillId="0" borderId="1" xfId="0" applyFont="1" applyBorder="1" applyAlignment="1">
      <alignment shrinkToFit="1"/>
    </xf>
    <xf numFmtId="0" fontId="45" fillId="0" borderId="4" xfId="0" applyFont="1" applyBorder="1" applyAlignment="1">
      <alignment shrinkToFit="1"/>
    </xf>
    <xf numFmtId="0" fontId="45" fillId="0" borderId="7" xfId="0" applyFont="1" applyBorder="1" applyAlignment="1">
      <alignment shrinkToFit="1"/>
    </xf>
    <xf numFmtId="0" fontId="44" fillId="0" borderId="14" xfId="0" applyFont="1" applyBorder="1" applyAlignment="1">
      <alignment shrinkToFit="1"/>
    </xf>
    <xf numFmtId="0" fontId="44" fillId="0" borderId="7" xfId="0" applyFont="1" applyBorder="1" applyAlignment="1">
      <alignment shrinkToFit="1"/>
    </xf>
    <xf numFmtId="0" fontId="45" fillId="0" borderId="13" xfId="0" applyFont="1" applyBorder="1" applyAlignment="1">
      <alignment shrinkToFit="1"/>
    </xf>
    <xf numFmtId="49" fontId="44" fillId="0" borderId="1" xfId="0" applyNumberFormat="1" applyFont="1" applyBorder="1" applyAlignment="1">
      <alignment horizontal="center" shrinkToFit="1"/>
    </xf>
    <xf numFmtId="0" fontId="44" fillId="0" borderId="4" xfId="0" applyFont="1" applyBorder="1" applyAlignment="1">
      <alignment shrinkToFit="1"/>
    </xf>
    <xf numFmtId="0" fontId="44" fillId="0" borderId="1" xfId="0" applyFont="1" applyBorder="1" applyAlignment="1">
      <alignment horizontal="center" shrinkToFit="1"/>
    </xf>
    <xf numFmtId="0" fontId="44" fillId="0" borderId="13" xfId="0" applyFont="1" applyBorder="1" applyAlignment="1">
      <alignment shrinkToFit="1"/>
    </xf>
    <xf numFmtId="0" fontId="44" fillId="0" borderId="8" xfId="0" applyFont="1" applyBorder="1" applyAlignment="1">
      <alignment shrinkToFit="1"/>
    </xf>
    <xf numFmtId="0" fontId="44" fillId="0" borderId="3" xfId="0" applyFont="1" applyBorder="1" applyAlignment="1">
      <alignment shrinkToFit="1"/>
    </xf>
    <xf numFmtId="0" fontId="44" fillId="0" borderId="2" xfId="0" applyFont="1" applyBorder="1" applyAlignment="1">
      <alignment shrinkToFit="1"/>
    </xf>
    <xf numFmtId="0" fontId="45" fillId="0" borderId="3" xfId="0" applyFont="1" applyBorder="1" applyAlignment="1">
      <alignment shrinkToFit="1"/>
    </xf>
    <xf numFmtId="0" fontId="44" fillId="0" borderId="1" xfId="0" applyFont="1" applyBorder="1" applyAlignment="1">
      <alignment horizontal="left" shrinkToFit="1"/>
    </xf>
    <xf numFmtId="0" fontId="44" fillId="0" borderId="3" xfId="0" applyFont="1" applyBorder="1" applyAlignment="1">
      <alignment horizontal="left" shrinkToFit="1"/>
    </xf>
    <xf numFmtId="0" fontId="44" fillId="0" borderId="1" xfId="0" applyFont="1" applyFill="1" applyBorder="1" applyAlignment="1">
      <alignment horizontal="center" shrinkToFit="1"/>
    </xf>
    <xf numFmtId="0" fontId="44" fillId="0" borderId="4" xfId="0" applyFont="1" applyBorder="1" applyAlignment="1">
      <alignment horizontal="left" shrinkToFit="1"/>
    </xf>
    <xf numFmtId="0" fontId="45" fillId="0" borderId="1" xfId="0" applyFont="1" applyBorder="1" applyAlignment="1">
      <alignment horizontal="left" shrinkToFit="1"/>
    </xf>
    <xf numFmtId="0" fontId="45" fillId="0" borderId="4" xfId="0" applyFont="1" applyBorder="1" applyAlignment="1">
      <alignment horizontal="left" shrinkToFit="1"/>
    </xf>
    <xf numFmtId="0" fontId="3" fillId="2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shrinkToFit="1"/>
    </xf>
    <xf numFmtId="0" fontId="34" fillId="0" borderId="0" xfId="0" applyFont="1" applyAlignment="1">
      <alignment shrinkToFit="1"/>
    </xf>
    <xf numFmtId="59" fontId="11" fillId="0" borderId="0" xfId="0" applyNumberFormat="1" applyFont="1" applyBorder="1" applyAlignment="1">
      <alignment horizontal="center" vertical="center" shrinkToFit="1"/>
    </xf>
    <xf numFmtId="0" fontId="14" fillId="0" borderId="0" xfId="0" applyFont="1" applyBorder="1" applyAlignment="1">
      <alignment shrinkToFit="1"/>
    </xf>
    <xf numFmtId="0" fontId="47" fillId="0" borderId="0" xfId="0" applyFont="1"/>
    <xf numFmtId="0" fontId="46" fillId="0" borderId="1" xfId="0" applyFont="1" applyBorder="1" applyAlignment="1">
      <alignment horizontal="center"/>
    </xf>
    <xf numFmtId="0" fontId="46" fillId="0" borderId="1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shrinkToFit="1"/>
    </xf>
    <xf numFmtId="0" fontId="43" fillId="2" borderId="0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vertical="center" shrinkToFit="1"/>
    </xf>
    <xf numFmtId="0" fontId="17" fillId="0" borderId="1" xfId="0" applyFont="1" applyBorder="1" applyAlignment="1">
      <alignment horizontal="center" vertical="center" shrinkToFit="1"/>
    </xf>
    <xf numFmtId="49" fontId="17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17" fillId="4" borderId="2" xfId="0" applyFont="1" applyFill="1" applyBorder="1" applyAlignment="1">
      <alignment horizontal="center" vertical="center" shrinkToFit="1"/>
    </xf>
    <xf numFmtId="0" fontId="17" fillId="4" borderId="3" xfId="0" applyFont="1" applyFill="1" applyBorder="1" applyAlignment="1">
      <alignment horizontal="center" vertical="center" shrinkToFit="1"/>
    </xf>
    <xf numFmtId="0" fontId="17" fillId="4" borderId="4" xfId="0" applyFont="1" applyFill="1" applyBorder="1" applyAlignment="1">
      <alignment horizontal="center" vertical="center" shrinkToFit="1"/>
    </xf>
    <xf numFmtId="59" fontId="3" fillId="2" borderId="1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1" fillId="0" borderId="12" xfId="0" applyFont="1" applyBorder="1" applyAlignment="1">
      <alignment horizontal="left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3" fillId="0" borderId="15" xfId="0" applyFont="1" applyBorder="1" applyAlignment="1">
      <alignment vertical="center" shrinkToFit="1"/>
    </xf>
    <xf numFmtId="59" fontId="3" fillId="0" borderId="1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49" fontId="3" fillId="0" borderId="1" xfId="0" applyNumberFormat="1" applyFont="1" applyBorder="1" applyAlignment="1">
      <alignment vertical="center" shrinkToFit="1"/>
    </xf>
    <xf numFmtId="0" fontId="3" fillId="4" borderId="0" xfId="0" applyFont="1" applyFill="1" applyAlignment="1">
      <alignment vertical="center" shrinkToFit="1"/>
    </xf>
    <xf numFmtId="0" fontId="1" fillId="0" borderId="6" xfId="0" applyFont="1" applyBorder="1" applyAlignment="1">
      <alignment vertical="center" shrinkToFit="1"/>
    </xf>
    <xf numFmtId="0" fontId="1" fillId="0" borderId="3" xfId="0" applyFont="1" applyBorder="1" applyAlignment="1">
      <alignment shrinkToFit="1"/>
    </xf>
    <xf numFmtId="0" fontId="1" fillId="0" borderId="1" xfId="0" applyFont="1" applyBorder="1" applyAlignment="1">
      <alignment shrinkToFit="1"/>
    </xf>
    <xf numFmtId="0" fontId="1" fillId="0" borderId="1" xfId="0" applyFont="1" applyBorder="1" applyAlignment="1">
      <alignment horizontal="center" shrinkToFit="1"/>
    </xf>
    <xf numFmtId="0" fontId="40" fillId="0" borderId="1" xfId="0" applyFont="1" applyBorder="1" applyAlignment="1">
      <alignment vertical="center" shrinkToFit="1"/>
    </xf>
    <xf numFmtId="0" fontId="1" fillId="0" borderId="2" xfId="0" applyFont="1" applyBorder="1" applyAlignment="1">
      <alignment horizontal="center" shrinkToFit="1"/>
    </xf>
    <xf numFmtId="0" fontId="1" fillId="0" borderId="3" xfId="0" applyFont="1" applyBorder="1" applyAlignment="1">
      <alignment horizontal="left" shrinkToFit="1"/>
    </xf>
    <xf numFmtId="0" fontId="1" fillId="0" borderId="4" xfId="0" applyFont="1" applyBorder="1" applyAlignment="1">
      <alignment shrinkToFit="1"/>
    </xf>
    <xf numFmtId="0" fontId="3" fillId="0" borderId="2" xfId="0" applyFont="1" applyBorder="1" applyAlignment="1">
      <alignment horizontal="left" vertical="center" shrinkToFit="1"/>
    </xf>
    <xf numFmtId="0" fontId="1" fillId="0" borderId="0" xfId="0" applyFont="1" applyAlignment="1">
      <alignment vertical="center" shrinkToFit="1"/>
    </xf>
    <xf numFmtId="49" fontId="3" fillId="0" borderId="0" xfId="0" applyNumberFormat="1" applyFont="1" applyAlignment="1">
      <alignment vertical="center" shrinkToFit="1"/>
    </xf>
    <xf numFmtId="0" fontId="1" fillId="0" borderId="2" xfId="0" applyFont="1" applyBorder="1" applyAlignment="1">
      <alignment horizontal="left" shrinkToFit="1"/>
    </xf>
    <xf numFmtId="0" fontId="1" fillId="0" borderId="4" xfId="0" applyFont="1" applyBorder="1" applyAlignment="1">
      <alignment horizontal="left" shrinkToFit="1"/>
    </xf>
    <xf numFmtId="0" fontId="1" fillId="0" borderId="1" xfId="0" applyFont="1" applyBorder="1" applyAlignment="1">
      <alignment horizontal="left" shrinkToFit="1"/>
    </xf>
    <xf numFmtId="59" fontId="1" fillId="0" borderId="2" xfId="0" applyNumberFormat="1" applyFont="1" applyBorder="1" applyAlignment="1">
      <alignment shrinkToFit="1"/>
    </xf>
    <xf numFmtId="59" fontId="1" fillId="0" borderId="3" xfId="0" applyNumberFormat="1" applyFont="1" applyBorder="1" applyAlignment="1">
      <alignment shrinkToFit="1"/>
    </xf>
    <xf numFmtId="59" fontId="1" fillId="0" borderId="26" xfId="0" applyNumberFormat="1" applyFont="1" applyBorder="1" applyAlignment="1">
      <alignment shrinkToFit="1"/>
    </xf>
    <xf numFmtId="59" fontId="1" fillId="0" borderId="27" xfId="0" applyNumberFormat="1" applyFont="1" applyBorder="1" applyAlignment="1">
      <alignment shrinkToFit="1"/>
    </xf>
    <xf numFmtId="0" fontId="1" fillId="0" borderId="28" xfId="0" applyFont="1" applyBorder="1" applyAlignment="1">
      <alignment shrinkToFit="1"/>
    </xf>
    <xf numFmtId="0" fontId="1" fillId="0" borderId="29" xfId="0" applyFont="1" applyBorder="1" applyAlignment="1">
      <alignment shrinkToFit="1"/>
    </xf>
    <xf numFmtId="0" fontId="3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" fillId="0" borderId="0" xfId="0" applyFont="1" applyBorder="1" applyAlignment="1">
      <alignment vertical="center" shrinkToFit="1"/>
    </xf>
    <xf numFmtId="49" fontId="3" fillId="0" borderId="7" xfId="0" applyNumberFormat="1" applyFont="1" applyBorder="1" applyAlignment="1">
      <alignment vertical="center" shrinkToFit="1"/>
    </xf>
    <xf numFmtId="0" fontId="24" fillId="2" borderId="1" xfId="0" applyFont="1" applyFill="1" applyBorder="1" applyAlignment="1">
      <alignment vertical="center" shrinkToFit="1"/>
    </xf>
    <xf numFmtId="0" fontId="42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87" fontId="49" fillId="0" borderId="1" xfId="0" applyNumberFormat="1" applyFont="1" applyBorder="1" applyAlignment="1">
      <alignment horizontal="center" vertical="center" shrinkToFit="1"/>
    </xf>
    <xf numFmtId="0" fontId="44" fillId="0" borderId="1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4" fillId="2" borderId="1" xfId="0" applyFont="1" applyFill="1" applyBorder="1" applyAlignment="1">
      <alignment vertical="center" shrinkToFit="1"/>
    </xf>
    <xf numFmtId="0" fontId="44" fillId="0" borderId="0" xfId="0" applyFont="1" applyAlignment="1">
      <alignment shrinkToFit="1"/>
    </xf>
    <xf numFmtId="0" fontId="32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vertical="center" shrinkToFit="1"/>
    </xf>
    <xf numFmtId="0" fontId="50" fillId="5" borderId="25" xfId="0" applyFont="1" applyFill="1" applyBorder="1" applyAlignment="1">
      <alignment vertical="center" wrapText="1"/>
    </xf>
    <xf numFmtId="0" fontId="50" fillId="5" borderId="24" xfId="0" applyFont="1" applyFill="1" applyBorder="1" applyAlignment="1">
      <alignment vertical="center" wrapText="1"/>
    </xf>
    <xf numFmtId="0" fontId="51" fillId="5" borderId="0" xfId="0" applyFont="1" applyFill="1"/>
    <xf numFmtId="0" fontId="52" fillId="5" borderId="22" xfId="0" applyFont="1" applyFill="1" applyBorder="1" applyAlignment="1">
      <alignment wrapText="1"/>
    </xf>
    <xf numFmtId="0" fontId="52" fillId="5" borderId="6" xfId="0" applyFont="1" applyFill="1" applyBorder="1" applyAlignment="1">
      <alignment wrapText="1"/>
    </xf>
    <xf numFmtId="0" fontId="53" fillId="5" borderId="0" xfId="0" applyFont="1" applyFill="1" applyAlignment="1"/>
    <xf numFmtId="0" fontId="54" fillId="5" borderId="0" xfId="0" applyFont="1" applyFill="1"/>
    <xf numFmtId="0" fontId="51" fillId="2" borderId="0" xfId="0" applyFont="1" applyFill="1"/>
    <xf numFmtId="0" fontId="53" fillId="2" borderId="0" xfId="0" applyFont="1" applyFill="1" applyAlignment="1"/>
    <xf numFmtId="0" fontId="53" fillId="2" borderId="0" xfId="0" applyFont="1" applyFill="1" applyBorder="1" applyAlignment="1"/>
    <xf numFmtId="0" fontId="54" fillId="2" borderId="0" xfId="0" applyFont="1" applyFill="1"/>
    <xf numFmtId="0" fontId="55" fillId="2" borderId="0" xfId="0" applyFont="1" applyFill="1"/>
    <xf numFmtId="0" fontId="17" fillId="0" borderId="1" xfId="0" applyFont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shrinkToFit="1"/>
    </xf>
    <xf numFmtId="0" fontId="17" fillId="4" borderId="3" xfId="0" applyFont="1" applyFill="1" applyBorder="1" applyAlignment="1">
      <alignment horizontal="center" vertical="center" shrinkToFit="1"/>
    </xf>
    <xf numFmtId="0" fontId="17" fillId="4" borderId="4" xfId="0" applyFont="1" applyFill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shrinkToFit="1"/>
    </xf>
    <xf numFmtId="0" fontId="46" fillId="0" borderId="6" xfId="0" applyFont="1" applyBorder="1" applyAlignment="1">
      <alignment horizontal="center" shrinkToFit="1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shrinkToFit="1"/>
    </xf>
    <xf numFmtId="0" fontId="46" fillId="0" borderId="2" xfId="0" applyFont="1" applyBorder="1" applyAlignment="1">
      <alignment horizontal="center" shrinkToFit="1"/>
    </xf>
    <xf numFmtId="0" fontId="46" fillId="0" borderId="3" xfId="0" applyFont="1" applyBorder="1" applyAlignment="1">
      <alignment horizontal="center" shrinkToFit="1"/>
    </xf>
    <xf numFmtId="0" fontId="46" fillId="0" borderId="4" xfId="0" applyFont="1" applyBorder="1" applyAlignment="1">
      <alignment horizontal="center" shrinkToFit="1"/>
    </xf>
    <xf numFmtId="0" fontId="46" fillId="0" borderId="5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shrinkToFit="1"/>
    </xf>
    <xf numFmtId="0" fontId="17" fillId="0" borderId="6" xfId="0" applyFont="1" applyBorder="1" applyAlignment="1">
      <alignment horizontal="center" shrinkToFit="1"/>
    </xf>
    <xf numFmtId="0" fontId="17" fillId="0" borderId="1" xfId="0" applyFont="1" applyBorder="1" applyAlignment="1">
      <alignment horizont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44" fillId="0" borderId="0" xfId="0" applyFont="1" applyAlignment="1">
      <alignment horizontal="center" shrinkToFit="1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3" fillId="2" borderId="0" xfId="0" applyFont="1" applyFill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50" fillId="5" borderId="24" xfId="0" applyFont="1" applyFill="1" applyBorder="1" applyAlignment="1">
      <alignment horizontal="center" vertical="center" shrinkToFit="1"/>
    </xf>
    <xf numFmtId="0" fontId="50" fillId="5" borderId="23" xfId="0" applyFont="1" applyFill="1" applyBorder="1" applyAlignment="1">
      <alignment horizontal="center" vertical="center" shrinkToFit="1"/>
    </xf>
    <xf numFmtId="0" fontId="52" fillId="5" borderId="6" xfId="0" applyFont="1" applyFill="1" applyBorder="1" applyAlignment="1">
      <alignment horizontal="center" wrapText="1"/>
    </xf>
    <xf numFmtId="0" fontId="52" fillId="5" borderId="21" xfId="0" applyFont="1" applyFill="1" applyBorder="1" applyAlignment="1">
      <alignment horizontal="center" wrapText="1"/>
    </xf>
    <xf numFmtId="59" fontId="10" fillId="0" borderId="0" xfId="0" applyNumberFormat="1" applyFont="1" applyBorder="1" applyAlignment="1">
      <alignment horizontal="center" vertical="center" shrinkToFit="1"/>
    </xf>
    <xf numFmtId="59" fontId="10" fillId="0" borderId="19" xfId="0" applyNumberFormat="1" applyFont="1" applyBorder="1" applyAlignment="1">
      <alignment horizontal="center" vertical="center" shrinkToFit="1"/>
    </xf>
    <xf numFmtId="59" fontId="10" fillId="0" borderId="15" xfId="0" applyNumberFormat="1" applyFont="1" applyBorder="1" applyAlignment="1">
      <alignment horizontal="center"/>
    </xf>
    <xf numFmtId="59" fontId="10" fillId="0" borderId="13" xfId="0" applyNumberFormat="1" applyFont="1" applyBorder="1" applyAlignment="1">
      <alignment horizontal="center"/>
    </xf>
    <xf numFmtId="59" fontId="13" fillId="0" borderId="0" xfId="0" applyNumberFormat="1" applyFont="1" applyBorder="1" applyAlignment="1">
      <alignment horizontal="center" vertical="center" shrinkToFit="1"/>
    </xf>
    <xf numFmtId="59" fontId="13" fillId="0" borderId="19" xfId="0" applyNumberFormat="1" applyFont="1" applyBorder="1" applyAlignment="1">
      <alignment horizontal="center" vertical="center" shrinkToFit="1"/>
    </xf>
    <xf numFmtId="59" fontId="13" fillId="0" borderId="17" xfId="0" applyNumberFormat="1" applyFont="1" applyBorder="1" applyAlignment="1">
      <alignment horizontal="center" vertical="center" shrinkToFit="1"/>
    </xf>
    <xf numFmtId="59" fontId="13" fillId="0" borderId="16" xfId="0" applyNumberFormat="1" applyFont="1" applyBorder="1" applyAlignment="1">
      <alignment horizontal="center" vertical="center" shrinkToFit="1"/>
    </xf>
    <xf numFmtId="59" fontId="5" fillId="0" borderId="15" xfId="0" applyNumberFormat="1" applyFont="1" applyBorder="1" applyAlignment="1">
      <alignment horizontal="center" vertical="center"/>
    </xf>
    <xf numFmtId="59" fontId="5" fillId="0" borderId="14" xfId="0" applyNumberFormat="1" applyFont="1" applyBorder="1" applyAlignment="1">
      <alignment horizontal="center" vertical="center"/>
    </xf>
    <xf numFmtId="59" fontId="5" fillId="0" borderId="13" xfId="0" applyNumberFormat="1" applyFont="1" applyBorder="1" applyAlignment="1">
      <alignment horizontal="center" vertical="center"/>
    </xf>
    <xf numFmtId="0" fontId="18" fillId="5" borderId="24" xfId="0" applyFont="1" applyFill="1" applyBorder="1"/>
    <xf numFmtId="0" fontId="18" fillId="5" borderId="23" xfId="0" applyFont="1" applyFill="1" applyBorder="1"/>
    <xf numFmtId="0" fontId="27" fillId="0" borderId="5" xfId="0" applyNumberFormat="1" applyFont="1" applyBorder="1" applyAlignment="1">
      <alignment horizontal="left" vertical="center" shrinkToFit="1"/>
    </xf>
    <xf numFmtId="0" fontId="27" fillId="0" borderId="12" xfId="0" applyNumberFormat="1" applyFont="1" applyBorder="1" applyAlignment="1">
      <alignment horizontal="left" vertical="center" shrinkToFit="1"/>
    </xf>
    <xf numFmtId="0" fontId="27" fillId="0" borderId="12" xfId="0" applyNumberFormat="1" applyFont="1" applyBorder="1" applyAlignment="1">
      <alignment horizontal="center" vertical="center" shrinkToFit="1"/>
    </xf>
    <xf numFmtId="0" fontId="27" fillId="0" borderId="11" xfId="0" applyNumberFormat="1" applyFont="1" applyBorder="1" applyAlignment="1">
      <alignment horizontal="center" vertical="center" shrinkToFit="1"/>
    </xf>
    <xf numFmtId="0" fontId="27" fillId="0" borderId="10" xfId="0" applyNumberFormat="1" applyFont="1" applyBorder="1" applyAlignment="1">
      <alignment horizontal="left" vertical="center" shrinkToFit="1"/>
    </xf>
    <xf numFmtId="0" fontId="27" fillId="0" borderId="0" xfId="0" applyNumberFormat="1" applyFont="1" applyBorder="1" applyAlignment="1">
      <alignment horizontal="left" vertical="center" shrinkToFit="1"/>
    </xf>
    <xf numFmtId="0" fontId="27" fillId="0" borderId="7" xfId="0" applyNumberFormat="1" applyFont="1" applyBorder="1" applyAlignment="1">
      <alignment horizontal="left" vertical="center" shrinkToFit="1"/>
    </xf>
    <xf numFmtId="49" fontId="27" fillId="0" borderId="9" xfId="0" applyNumberFormat="1" applyFont="1" applyBorder="1" applyAlignment="1">
      <alignment horizontal="left" vertical="center" shrinkToFit="1"/>
    </xf>
    <xf numFmtId="0" fontId="27" fillId="0" borderId="6" xfId="0" applyNumberFormat="1" applyFont="1" applyBorder="1" applyAlignment="1">
      <alignment horizontal="left" vertical="center" shrinkToFit="1"/>
    </xf>
    <xf numFmtId="0" fontId="27" fillId="0" borderId="8" xfId="0" applyNumberFormat="1" applyFont="1" applyBorder="1" applyAlignment="1">
      <alignment horizontal="left" vertical="center" shrinkToFit="1"/>
    </xf>
    <xf numFmtId="0" fontId="27" fillId="0" borderId="9" xfId="0" applyNumberFormat="1" applyFont="1" applyBorder="1" applyAlignment="1">
      <alignment horizontal="left" vertical="center" shrinkToFit="1"/>
    </xf>
    <xf numFmtId="0" fontId="25" fillId="2" borderId="0" xfId="0" applyNumberFormat="1" applyFont="1" applyFill="1" applyAlignment="1">
      <alignment horizontal="center" vertical="center"/>
    </xf>
    <xf numFmtId="0" fontId="28" fillId="2" borderId="0" xfId="0" applyNumberFormat="1" applyFont="1" applyFill="1" applyAlignment="1">
      <alignment horizontal="center" vertical="center"/>
    </xf>
    <xf numFmtId="0" fontId="25" fillId="0" borderId="0" xfId="0" applyNumberFormat="1" applyFont="1" applyAlignment="1">
      <alignment horizontal="center" vertical="center" shrinkToFit="1"/>
    </xf>
    <xf numFmtId="0" fontId="27" fillId="0" borderId="6" xfId="0" applyNumberFormat="1" applyFont="1" applyBorder="1"/>
    <xf numFmtId="0" fontId="27" fillId="0" borderId="8" xfId="0" applyNumberFormat="1" applyFont="1" applyBorder="1"/>
    <xf numFmtId="0" fontId="27" fillId="0" borderId="11" xfId="0" applyNumberFormat="1" applyFont="1" applyBorder="1"/>
    <xf numFmtId="0" fontId="26" fillId="0" borderId="0" xfId="0" applyNumberFormat="1" applyFont="1" applyAlignment="1">
      <alignment horizontal="center"/>
    </xf>
    <xf numFmtId="0" fontId="27" fillId="0" borderId="0" xfId="0" applyNumberFormat="1" applyFont="1" applyBorder="1"/>
    <xf numFmtId="0" fontId="27" fillId="0" borderId="7" xfId="0" applyNumberFormat="1" applyFont="1" applyBorder="1"/>
    <xf numFmtId="0" fontId="22" fillId="0" borderId="0" xfId="0" applyFont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17" fillId="3" borderId="2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23" fillId="0" borderId="6" xfId="0" applyFont="1" applyBorder="1" applyAlignment="1">
      <alignment horizontal="center"/>
    </xf>
    <xf numFmtId="59" fontId="3" fillId="0" borderId="0" xfId="0" applyNumberFormat="1" applyFont="1" applyBorder="1" applyAlignment="1">
      <alignment horizontal="center" vertical="center" shrinkToFit="1"/>
    </xf>
    <xf numFmtId="0" fontId="3" fillId="0" borderId="0" xfId="0" applyFont="1" applyBorder="1" applyAlignment="1">
      <alignment horizontal="left" vertical="center" shrinkToFit="1"/>
    </xf>
    <xf numFmtId="0" fontId="3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left" vertical="center"/>
    </xf>
  </cellXfs>
  <cellStyles count="2">
    <cellStyle name="ปกติ" xfId="0" builtinId="0"/>
    <cellStyle name="ปกติ 2" xfId="1"/>
  </cellStyles>
  <dxfs count="0"/>
  <tableStyles count="0" defaultTableStyle="TableStyleMedium9" defaultPivotStyle="PivotStyleLight16"/>
  <colors>
    <mruColors>
      <color rgb="FF11DAEF"/>
      <color rgb="FFF7777A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15788</xdr:colOff>
      <xdr:row>1</xdr:row>
      <xdr:rowOff>0</xdr:rowOff>
    </xdr:from>
    <xdr:to>
      <xdr:col>6</xdr:col>
      <xdr:colOff>35719</xdr:colOff>
      <xdr:row>2</xdr:row>
      <xdr:rowOff>307996</xdr:rowOff>
    </xdr:to>
    <xdr:pic>
      <xdr:nvPicPr>
        <xdr:cNvPr id="2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</xdr:row>
      <xdr:rowOff>0</xdr:rowOff>
    </xdr:from>
    <xdr:to>
      <xdr:col>16</xdr:col>
      <xdr:colOff>35719</xdr:colOff>
      <xdr:row>2</xdr:row>
      <xdr:rowOff>307996</xdr:rowOff>
    </xdr:to>
    <xdr:pic>
      <xdr:nvPicPr>
        <xdr:cNvPr id="3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14</xdr:row>
      <xdr:rowOff>0</xdr:rowOff>
    </xdr:from>
    <xdr:to>
      <xdr:col>6</xdr:col>
      <xdr:colOff>35719</xdr:colOff>
      <xdr:row>15</xdr:row>
      <xdr:rowOff>307996</xdr:rowOff>
    </xdr:to>
    <xdr:pic>
      <xdr:nvPicPr>
        <xdr:cNvPr id="4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25336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14</xdr:row>
      <xdr:rowOff>0</xdr:rowOff>
    </xdr:from>
    <xdr:to>
      <xdr:col>16</xdr:col>
      <xdr:colOff>35719</xdr:colOff>
      <xdr:row>15</xdr:row>
      <xdr:rowOff>307996</xdr:rowOff>
    </xdr:to>
    <xdr:pic>
      <xdr:nvPicPr>
        <xdr:cNvPr id="5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25336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27</xdr:row>
      <xdr:rowOff>0</xdr:rowOff>
    </xdr:from>
    <xdr:to>
      <xdr:col>6</xdr:col>
      <xdr:colOff>35719</xdr:colOff>
      <xdr:row>28</xdr:row>
      <xdr:rowOff>307996</xdr:rowOff>
    </xdr:to>
    <xdr:pic>
      <xdr:nvPicPr>
        <xdr:cNvPr id="6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506730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27</xdr:row>
      <xdr:rowOff>0</xdr:rowOff>
    </xdr:from>
    <xdr:to>
      <xdr:col>16</xdr:col>
      <xdr:colOff>35719</xdr:colOff>
      <xdr:row>28</xdr:row>
      <xdr:rowOff>307996</xdr:rowOff>
    </xdr:to>
    <xdr:pic>
      <xdr:nvPicPr>
        <xdr:cNvPr id="7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506730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40</xdr:row>
      <xdr:rowOff>0</xdr:rowOff>
    </xdr:from>
    <xdr:to>
      <xdr:col>6</xdr:col>
      <xdr:colOff>35719</xdr:colOff>
      <xdr:row>41</xdr:row>
      <xdr:rowOff>307996</xdr:rowOff>
    </xdr:to>
    <xdr:pic>
      <xdr:nvPicPr>
        <xdr:cNvPr id="8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76009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40</xdr:row>
      <xdr:rowOff>0</xdr:rowOff>
    </xdr:from>
    <xdr:to>
      <xdr:col>16</xdr:col>
      <xdr:colOff>35719</xdr:colOff>
      <xdr:row>41</xdr:row>
      <xdr:rowOff>307996</xdr:rowOff>
    </xdr:to>
    <xdr:pic>
      <xdr:nvPicPr>
        <xdr:cNvPr id="9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76009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54</xdr:row>
      <xdr:rowOff>0</xdr:rowOff>
    </xdr:from>
    <xdr:to>
      <xdr:col>6</xdr:col>
      <xdr:colOff>35719</xdr:colOff>
      <xdr:row>55</xdr:row>
      <xdr:rowOff>307996</xdr:rowOff>
    </xdr:to>
    <xdr:pic>
      <xdr:nvPicPr>
        <xdr:cNvPr id="10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1013460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54</xdr:row>
      <xdr:rowOff>0</xdr:rowOff>
    </xdr:from>
    <xdr:to>
      <xdr:col>16</xdr:col>
      <xdr:colOff>35719</xdr:colOff>
      <xdr:row>55</xdr:row>
      <xdr:rowOff>307996</xdr:rowOff>
    </xdr:to>
    <xdr:pic>
      <xdr:nvPicPr>
        <xdr:cNvPr id="11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1013460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67</xdr:row>
      <xdr:rowOff>0</xdr:rowOff>
    </xdr:from>
    <xdr:to>
      <xdr:col>6</xdr:col>
      <xdr:colOff>35719</xdr:colOff>
      <xdr:row>68</xdr:row>
      <xdr:rowOff>307996</xdr:rowOff>
    </xdr:to>
    <xdr:pic>
      <xdr:nvPicPr>
        <xdr:cNvPr id="12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124872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67</xdr:row>
      <xdr:rowOff>0</xdr:rowOff>
    </xdr:from>
    <xdr:to>
      <xdr:col>16</xdr:col>
      <xdr:colOff>35719</xdr:colOff>
      <xdr:row>68</xdr:row>
      <xdr:rowOff>307996</xdr:rowOff>
    </xdr:to>
    <xdr:pic>
      <xdr:nvPicPr>
        <xdr:cNvPr id="13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124872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80</xdr:row>
      <xdr:rowOff>0</xdr:rowOff>
    </xdr:from>
    <xdr:to>
      <xdr:col>6</xdr:col>
      <xdr:colOff>35719</xdr:colOff>
      <xdr:row>81</xdr:row>
      <xdr:rowOff>307996</xdr:rowOff>
    </xdr:to>
    <xdr:pic>
      <xdr:nvPicPr>
        <xdr:cNvPr id="14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150209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80</xdr:row>
      <xdr:rowOff>0</xdr:rowOff>
    </xdr:from>
    <xdr:to>
      <xdr:col>16</xdr:col>
      <xdr:colOff>35719</xdr:colOff>
      <xdr:row>81</xdr:row>
      <xdr:rowOff>307996</xdr:rowOff>
    </xdr:to>
    <xdr:pic>
      <xdr:nvPicPr>
        <xdr:cNvPr id="15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150209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93</xdr:row>
      <xdr:rowOff>0</xdr:rowOff>
    </xdr:from>
    <xdr:to>
      <xdr:col>6</xdr:col>
      <xdr:colOff>35719</xdr:colOff>
      <xdr:row>94</xdr:row>
      <xdr:rowOff>307996</xdr:rowOff>
    </xdr:to>
    <xdr:pic>
      <xdr:nvPicPr>
        <xdr:cNvPr id="16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175545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93</xdr:row>
      <xdr:rowOff>0</xdr:rowOff>
    </xdr:from>
    <xdr:to>
      <xdr:col>16</xdr:col>
      <xdr:colOff>35719</xdr:colOff>
      <xdr:row>94</xdr:row>
      <xdr:rowOff>307996</xdr:rowOff>
    </xdr:to>
    <xdr:pic>
      <xdr:nvPicPr>
        <xdr:cNvPr id="17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175545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106</xdr:row>
      <xdr:rowOff>0</xdr:rowOff>
    </xdr:from>
    <xdr:to>
      <xdr:col>6</xdr:col>
      <xdr:colOff>35719</xdr:colOff>
      <xdr:row>107</xdr:row>
      <xdr:rowOff>307996</xdr:rowOff>
    </xdr:to>
    <xdr:pic>
      <xdr:nvPicPr>
        <xdr:cNvPr id="18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200882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106</xdr:row>
      <xdr:rowOff>0</xdr:rowOff>
    </xdr:from>
    <xdr:to>
      <xdr:col>16</xdr:col>
      <xdr:colOff>35719</xdr:colOff>
      <xdr:row>107</xdr:row>
      <xdr:rowOff>307996</xdr:rowOff>
    </xdr:to>
    <xdr:pic>
      <xdr:nvPicPr>
        <xdr:cNvPr id="19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200882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119</xdr:row>
      <xdr:rowOff>0</xdr:rowOff>
    </xdr:from>
    <xdr:to>
      <xdr:col>6</xdr:col>
      <xdr:colOff>35719</xdr:colOff>
      <xdr:row>120</xdr:row>
      <xdr:rowOff>307996</xdr:rowOff>
    </xdr:to>
    <xdr:pic>
      <xdr:nvPicPr>
        <xdr:cNvPr id="20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226218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119</xdr:row>
      <xdr:rowOff>0</xdr:rowOff>
    </xdr:from>
    <xdr:to>
      <xdr:col>16</xdr:col>
      <xdr:colOff>35719</xdr:colOff>
      <xdr:row>120</xdr:row>
      <xdr:rowOff>307996</xdr:rowOff>
    </xdr:to>
    <xdr:pic>
      <xdr:nvPicPr>
        <xdr:cNvPr id="21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226218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131</xdr:row>
      <xdr:rowOff>0</xdr:rowOff>
    </xdr:from>
    <xdr:to>
      <xdr:col>6</xdr:col>
      <xdr:colOff>35719</xdr:colOff>
      <xdr:row>132</xdr:row>
      <xdr:rowOff>307996</xdr:rowOff>
    </xdr:to>
    <xdr:pic>
      <xdr:nvPicPr>
        <xdr:cNvPr id="22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249745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131</xdr:row>
      <xdr:rowOff>0</xdr:rowOff>
    </xdr:from>
    <xdr:to>
      <xdr:col>16</xdr:col>
      <xdr:colOff>35719</xdr:colOff>
      <xdr:row>132</xdr:row>
      <xdr:rowOff>307996</xdr:rowOff>
    </xdr:to>
    <xdr:pic>
      <xdr:nvPicPr>
        <xdr:cNvPr id="23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249745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144</xdr:row>
      <xdr:rowOff>0</xdr:rowOff>
    </xdr:from>
    <xdr:to>
      <xdr:col>6</xdr:col>
      <xdr:colOff>35719</xdr:colOff>
      <xdr:row>145</xdr:row>
      <xdr:rowOff>307996</xdr:rowOff>
    </xdr:to>
    <xdr:pic>
      <xdr:nvPicPr>
        <xdr:cNvPr id="24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2750820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144</xdr:row>
      <xdr:rowOff>0</xdr:rowOff>
    </xdr:from>
    <xdr:to>
      <xdr:col>16</xdr:col>
      <xdr:colOff>35719</xdr:colOff>
      <xdr:row>145</xdr:row>
      <xdr:rowOff>307996</xdr:rowOff>
    </xdr:to>
    <xdr:pic>
      <xdr:nvPicPr>
        <xdr:cNvPr id="25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2750820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157</xdr:row>
      <xdr:rowOff>0</xdr:rowOff>
    </xdr:from>
    <xdr:to>
      <xdr:col>6</xdr:col>
      <xdr:colOff>35719</xdr:colOff>
      <xdr:row>158</xdr:row>
      <xdr:rowOff>307996</xdr:rowOff>
    </xdr:to>
    <xdr:pic>
      <xdr:nvPicPr>
        <xdr:cNvPr id="26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300418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157</xdr:row>
      <xdr:rowOff>0</xdr:rowOff>
    </xdr:from>
    <xdr:to>
      <xdr:col>16</xdr:col>
      <xdr:colOff>35719</xdr:colOff>
      <xdr:row>158</xdr:row>
      <xdr:rowOff>307996</xdr:rowOff>
    </xdr:to>
    <xdr:pic>
      <xdr:nvPicPr>
        <xdr:cNvPr id="27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300418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170</xdr:row>
      <xdr:rowOff>0</xdr:rowOff>
    </xdr:from>
    <xdr:to>
      <xdr:col>6</xdr:col>
      <xdr:colOff>35719</xdr:colOff>
      <xdr:row>171</xdr:row>
      <xdr:rowOff>307996</xdr:rowOff>
    </xdr:to>
    <xdr:pic>
      <xdr:nvPicPr>
        <xdr:cNvPr id="28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3257550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170</xdr:row>
      <xdr:rowOff>0</xdr:rowOff>
    </xdr:from>
    <xdr:to>
      <xdr:col>16</xdr:col>
      <xdr:colOff>35719</xdr:colOff>
      <xdr:row>171</xdr:row>
      <xdr:rowOff>307996</xdr:rowOff>
    </xdr:to>
    <xdr:pic>
      <xdr:nvPicPr>
        <xdr:cNvPr id="29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3257550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183</xdr:row>
      <xdr:rowOff>0</xdr:rowOff>
    </xdr:from>
    <xdr:to>
      <xdr:col>6</xdr:col>
      <xdr:colOff>35719</xdr:colOff>
      <xdr:row>184</xdr:row>
      <xdr:rowOff>307996</xdr:rowOff>
    </xdr:to>
    <xdr:pic>
      <xdr:nvPicPr>
        <xdr:cNvPr id="30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351091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183</xdr:row>
      <xdr:rowOff>0</xdr:rowOff>
    </xdr:from>
    <xdr:to>
      <xdr:col>16</xdr:col>
      <xdr:colOff>35719</xdr:colOff>
      <xdr:row>184</xdr:row>
      <xdr:rowOff>307996</xdr:rowOff>
    </xdr:to>
    <xdr:pic>
      <xdr:nvPicPr>
        <xdr:cNvPr id="31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35109150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195</xdr:row>
      <xdr:rowOff>0</xdr:rowOff>
    </xdr:from>
    <xdr:to>
      <xdr:col>6</xdr:col>
      <xdr:colOff>35719</xdr:colOff>
      <xdr:row>196</xdr:row>
      <xdr:rowOff>307996</xdr:rowOff>
    </xdr:to>
    <xdr:pic>
      <xdr:nvPicPr>
        <xdr:cNvPr id="32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374618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195</xdr:row>
      <xdr:rowOff>0</xdr:rowOff>
    </xdr:from>
    <xdr:to>
      <xdr:col>16</xdr:col>
      <xdr:colOff>35719</xdr:colOff>
      <xdr:row>196</xdr:row>
      <xdr:rowOff>307996</xdr:rowOff>
    </xdr:to>
    <xdr:pic>
      <xdr:nvPicPr>
        <xdr:cNvPr id="33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374618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209</xdr:row>
      <xdr:rowOff>0</xdr:rowOff>
    </xdr:from>
    <xdr:to>
      <xdr:col>6</xdr:col>
      <xdr:colOff>35719</xdr:colOff>
      <xdr:row>210</xdr:row>
      <xdr:rowOff>307996</xdr:rowOff>
    </xdr:to>
    <xdr:pic>
      <xdr:nvPicPr>
        <xdr:cNvPr id="34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399954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209</xdr:row>
      <xdr:rowOff>0</xdr:rowOff>
    </xdr:from>
    <xdr:to>
      <xdr:col>16</xdr:col>
      <xdr:colOff>35719</xdr:colOff>
      <xdr:row>210</xdr:row>
      <xdr:rowOff>307996</xdr:rowOff>
    </xdr:to>
    <xdr:pic>
      <xdr:nvPicPr>
        <xdr:cNvPr id="35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399954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223</xdr:row>
      <xdr:rowOff>0</xdr:rowOff>
    </xdr:from>
    <xdr:to>
      <xdr:col>6</xdr:col>
      <xdr:colOff>35719</xdr:colOff>
      <xdr:row>224</xdr:row>
      <xdr:rowOff>307996</xdr:rowOff>
    </xdr:to>
    <xdr:pic>
      <xdr:nvPicPr>
        <xdr:cNvPr id="36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425291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223</xdr:row>
      <xdr:rowOff>0</xdr:rowOff>
    </xdr:from>
    <xdr:to>
      <xdr:col>16</xdr:col>
      <xdr:colOff>35719</xdr:colOff>
      <xdr:row>224</xdr:row>
      <xdr:rowOff>307996</xdr:rowOff>
    </xdr:to>
    <xdr:pic>
      <xdr:nvPicPr>
        <xdr:cNvPr id="37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425291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237</xdr:row>
      <xdr:rowOff>0</xdr:rowOff>
    </xdr:from>
    <xdr:to>
      <xdr:col>6</xdr:col>
      <xdr:colOff>35719</xdr:colOff>
      <xdr:row>238</xdr:row>
      <xdr:rowOff>307996</xdr:rowOff>
    </xdr:to>
    <xdr:pic>
      <xdr:nvPicPr>
        <xdr:cNvPr id="38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450627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237</xdr:row>
      <xdr:rowOff>0</xdr:rowOff>
    </xdr:from>
    <xdr:to>
      <xdr:col>16</xdr:col>
      <xdr:colOff>35719</xdr:colOff>
      <xdr:row>238</xdr:row>
      <xdr:rowOff>307996</xdr:rowOff>
    </xdr:to>
    <xdr:pic>
      <xdr:nvPicPr>
        <xdr:cNvPr id="39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4506277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250</xdr:row>
      <xdr:rowOff>0</xdr:rowOff>
    </xdr:from>
    <xdr:to>
      <xdr:col>6</xdr:col>
      <xdr:colOff>35719</xdr:colOff>
      <xdr:row>251</xdr:row>
      <xdr:rowOff>307996</xdr:rowOff>
    </xdr:to>
    <xdr:pic>
      <xdr:nvPicPr>
        <xdr:cNvPr id="40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588" y="475964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250</xdr:row>
      <xdr:rowOff>0</xdr:rowOff>
    </xdr:from>
    <xdr:to>
      <xdr:col>16</xdr:col>
      <xdr:colOff>35719</xdr:colOff>
      <xdr:row>251</xdr:row>
      <xdr:rowOff>307996</xdr:rowOff>
    </xdr:to>
    <xdr:pic>
      <xdr:nvPicPr>
        <xdr:cNvPr id="41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9588" y="47596425"/>
          <a:ext cx="3448931" cy="36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276</xdr:row>
      <xdr:rowOff>0</xdr:rowOff>
    </xdr:from>
    <xdr:to>
      <xdr:col>6</xdr:col>
      <xdr:colOff>35719</xdr:colOff>
      <xdr:row>277</xdr:row>
      <xdr:rowOff>307996</xdr:rowOff>
    </xdr:to>
    <xdr:pic>
      <xdr:nvPicPr>
        <xdr:cNvPr id="50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745" y="38514130"/>
          <a:ext cx="748800" cy="709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276</xdr:row>
      <xdr:rowOff>0</xdr:rowOff>
    </xdr:from>
    <xdr:to>
      <xdr:col>16</xdr:col>
      <xdr:colOff>35719</xdr:colOff>
      <xdr:row>277</xdr:row>
      <xdr:rowOff>307996</xdr:rowOff>
    </xdr:to>
    <xdr:pic>
      <xdr:nvPicPr>
        <xdr:cNvPr id="51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6397" y="38514130"/>
          <a:ext cx="748800" cy="709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289</xdr:row>
      <xdr:rowOff>0</xdr:rowOff>
    </xdr:from>
    <xdr:to>
      <xdr:col>6</xdr:col>
      <xdr:colOff>35719</xdr:colOff>
      <xdr:row>290</xdr:row>
      <xdr:rowOff>307996</xdr:rowOff>
    </xdr:to>
    <xdr:pic>
      <xdr:nvPicPr>
        <xdr:cNvPr id="52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745" y="38514130"/>
          <a:ext cx="748800" cy="709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289</xdr:row>
      <xdr:rowOff>0</xdr:rowOff>
    </xdr:from>
    <xdr:to>
      <xdr:col>16</xdr:col>
      <xdr:colOff>35719</xdr:colOff>
      <xdr:row>290</xdr:row>
      <xdr:rowOff>307996</xdr:rowOff>
    </xdr:to>
    <xdr:pic>
      <xdr:nvPicPr>
        <xdr:cNvPr id="53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6397" y="38514130"/>
          <a:ext cx="748800" cy="709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302</xdr:row>
      <xdr:rowOff>0</xdr:rowOff>
    </xdr:from>
    <xdr:to>
      <xdr:col>6</xdr:col>
      <xdr:colOff>35719</xdr:colOff>
      <xdr:row>303</xdr:row>
      <xdr:rowOff>307996</xdr:rowOff>
    </xdr:to>
    <xdr:pic>
      <xdr:nvPicPr>
        <xdr:cNvPr id="54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745" y="38514130"/>
          <a:ext cx="748800" cy="709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302</xdr:row>
      <xdr:rowOff>0</xdr:rowOff>
    </xdr:from>
    <xdr:to>
      <xdr:col>16</xdr:col>
      <xdr:colOff>35719</xdr:colOff>
      <xdr:row>303</xdr:row>
      <xdr:rowOff>307996</xdr:rowOff>
    </xdr:to>
    <xdr:pic>
      <xdr:nvPicPr>
        <xdr:cNvPr id="55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6397" y="38514130"/>
          <a:ext cx="748800" cy="709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15788</xdr:colOff>
      <xdr:row>315</xdr:row>
      <xdr:rowOff>0</xdr:rowOff>
    </xdr:from>
    <xdr:to>
      <xdr:col>6</xdr:col>
      <xdr:colOff>35719</xdr:colOff>
      <xdr:row>316</xdr:row>
      <xdr:rowOff>307996</xdr:rowOff>
    </xdr:to>
    <xdr:pic>
      <xdr:nvPicPr>
        <xdr:cNvPr id="56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745" y="38514130"/>
          <a:ext cx="748800" cy="709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15788</xdr:colOff>
      <xdr:row>315</xdr:row>
      <xdr:rowOff>0</xdr:rowOff>
    </xdr:from>
    <xdr:to>
      <xdr:col>16</xdr:col>
      <xdr:colOff>35719</xdr:colOff>
      <xdr:row>316</xdr:row>
      <xdr:rowOff>307996</xdr:rowOff>
    </xdr:to>
    <xdr:pic>
      <xdr:nvPicPr>
        <xdr:cNvPr id="57" name="Picture 1" descr="โลโก้ ฝรก. สี เสร็จใส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6397" y="38514130"/>
          <a:ext cx="748800" cy="709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AR63"/>
  <sheetViews>
    <sheetView topLeftCell="A34" workbookViewId="0">
      <selection activeCell="C43" sqref="C43"/>
    </sheetView>
  </sheetViews>
  <sheetFormatPr defaultRowHeight="26.25" customHeight="1"/>
  <cols>
    <col min="1" max="1" width="4.875" style="238" customWidth="1"/>
    <col min="2" max="2" width="5.125" style="153" customWidth="1"/>
    <col min="3" max="3" width="8.5" style="153" bestFit="1" customWidth="1"/>
    <col min="4" max="4" width="10.625" style="153" bestFit="1" customWidth="1"/>
    <col min="5" max="5" width="31.5" style="153" customWidth="1"/>
    <col min="6" max="6" width="13" style="247" customWidth="1"/>
    <col min="7" max="7" width="18.75" style="227" customWidth="1"/>
    <col min="8" max="8" width="5.875" style="153" customWidth="1"/>
    <col min="9" max="9" width="5.125" style="153" customWidth="1"/>
    <col min="10" max="10" width="5" style="153" customWidth="1"/>
    <col min="11" max="11" width="19" style="153" customWidth="1"/>
    <col min="12" max="12" width="8.25" style="153" customWidth="1"/>
    <col min="13" max="13" width="2.625" style="199" customWidth="1"/>
    <col min="14" max="44" width="9" style="199"/>
    <col min="45" max="16384" width="9" style="153"/>
  </cols>
  <sheetData>
    <row r="1" spans="1:44" ht="22.5">
      <c r="A1" s="273" t="s">
        <v>0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</row>
    <row r="2" spans="1:44" ht="22.5">
      <c r="A2" s="273" t="s">
        <v>246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</row>
    <row r="3" spans="1:44" ht="22.5">
      <c r="A3" s="273" t="s">
        <v>72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</row>
    <row r="4" spans="1:44" ht="22.5">
      <c r="A4" s="274" t="s">
        <v>245</v>
      </c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</row>
    <row r="5" spans="1:44" ht="11.25" customHeight="1">
      <c r="A5" s="239"/>
      <c r="B5" s="239"/>
      <c r="C5" s="239"/>
      <c r="D5" s="239"/>
      <c r="E5" s="239"/>
      <c r="F5" s="244"/>
      <c r="G5" s="239"/>
      <c r="H5" s="239"/>
      <c r="I5" s="239"/>
      <c r="J5" s="239"/>
      <c r="K5" s="239"/>
      <c r="L5" s="239"/>
    </row>
    <row r="6" spans="1:44" s="204" customFormat="1" ht="26.25" customHeight="1">
      <c r="A6" s="200" t="s">
        <v>3</v>
      </c>
      <c r="B6" s="275" t="s">
        <v>18</v>
      </c>
      <c r="C6" s="276"/>
      <c r="D6" s="277"/>
      <c r="E6" s="200" t="s">
        <v>10</v>
      </c>
      <c r="F6" s="198" t="s">
        <v>19</v>
      </c>
      <c r="G6" s="201" t="s">
        <v>21</v>
      </c>
      <c r="H6" s="200" t="s">
        <v>4</v>
      </c>
      <c r="I6" s="200" t="s">
        <v>11</v>
      </c>
      <c r="J6" s="200" t="s">
        <v>24</v>
      </c>
      <c r="K6" s="202" t="s">
        <v>23</v>
      </c>
      <c r="L6" s="200" t="s">
        <v>2</v>
      </c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203"/>
      <c r="AQ6" s="203"/>
      <c r="AR6" s="203"/>
    </row>
    <row r="7" spans="1:44" ht="25.5" customHeight="1">
      <c r="A7" s="270" t="s">
        <v>7</v>
      </c>
      <c r="B7" s="271"/>
      <c r="C7" s="271"/>
      <c r="D7" s="271"/>
      <c r="E7" s="271"/>
      <c r="F7" s="271"/>
      <c r="G7" s="271"/>
      <c r="H7" s="271"/>
      <c r="I7" s="271"/>
      <c r="J7" s="271"/>
      <c r="K7" s="271"/>
      <c r="L7" s="272"/>
    </row>
    <row r="8" spans="1:44" s="199" customFormat="1" ht="29.25" customHeight="1">
      <c r="A8" s="208">
        <v>1</v>
      </c>
      <c r="B8" s="209" t="s">
        <v>52</v>
      </c>
      <c r="C8" s="210" t="s">
        <v>176</v>
      </c>
      <c r="D8" s="154" t="s">
        <v>177</v>
      </c>
      <c r="E8" s="128" t="s">
        <v>192</v>
      </c>
      <c r="F8" s="147" t="s">
        <v>178</v>
      </c>
      <c r="G8" s="211"/>
      <c r="H8" s="139"/>
      <c r="I8" s="139"/>
      <c r="J8" s="139"/>
      <c r="K8" s="139"/>
      <c r="L8" s="212" t="str">
        <f t="shared" ref="L8:L28" si="0">B8</f>
        <v>พ.ต.ต.</v>
      </c>
    </row>
    <row r="9" spans="1:44" s="199" customFormat="1" ht="29.25" customHeight="1">
      <c r="A9" s="208">
        <v>2</v>
      </c>
      <c r="B9" s="209" t="s">
        <v>79</v>
      </c>
      <c r="C9" s="210" t="s">
        <v>179</v>
      </c>
      <c r="D9" s="154" t="s">
        <v>341</v>
      </c>
      <c r="E9" s="128" t="s">
        <v>193</v>
      </c>
      <c r="F9" s="147" t="s">
        <v>342</v>
      </c>
      <c r="G9" s="211"/>
      <c r="H9" s="139"/>
      <c r="I9" s="139"/>
      <c r="J9" s="139"/>
      <c r="K9" s="139"/>
      <c r="L9" s="212" t="str">
        <f t="shared" si="0"/>
        <v>ร.ต.อ.</v>
      </c>
    </row>
    <row r="10" spans="1:44" ht="29.25" customHeight="1">
      <c r="A10" s="213">
        <v>3</v>
      </c>
      <c r="B10" s="214" t="s">
        <v>79</v>
      </c>
      <c r="C10" s="141" t="s">
        <v>180</v>
      </c>
      <c r="D10" s="142" t="s">
        <v>181</v>
      </c>
      <c r="E10" s="134" t="s">
        <v>194</v>
      </c>
      <c r="F10" s="147" t="s">
        <v>182</v>
      </c>
      <c r="G10" s="215"/>
      <c r="H10" s="139"/>
      <c r="I10" s="139"/>
      <c r="J10" s="139"/>
      <c r="K10" s="139"/>
      <c r="L10" s="212" t="str">
        <f t="shared" si="0"/>
        <v>ร.ต.อ.</v>
      </c>
    </row>
    <row r="11" spans="1:44" s="216" customFormat="1" ht="29.25" customHeight="1">
      <c r="A11" s="213">
        <v>4</v>
      </c>
      <c r="B11" s="214" t="s">
        <v>79</v>
      </c>
      <c r="C11" s="141" t="s">
        <v>183</v>
      </c>
      <c r="D11" s="142" t="s">
        <v>184</v>
      </c>
      <c r="E11" s="134" t="s">
        <v>195</v>
      </c>
      <c r="F11" s="147" t="s">
        <v>185</v>
      </c>
      <c r="G11" s="215"/>
      <c r="H11" s="139"/>
      <c r="I11" s="139"/>
      <c r="J11" s="139"/>
      <c r="K11" s="139"/>
      <c r="L11" s="212" t="str">
        <f t="shared" si="0"/>
        <v>ร.ต.อ.</v>
      </c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</row>
    <row r="12" spans="1:44" ht="29.25" customHeight="1">
      <c r="A12" s="213">
        <v>5</v>
      </c>
      <c r="B12" s="214" t="s">
        <v>79</v>
      </c>
      <c r="C12" s="141" t="s">
        <v>186</v>
      </c>
      <c r="D12" s="142" t="s">
        <v>187</v>
      </c>
      <c r="E12" s="134" t="s">
        <v>196</v>
      </c>
      <c r="F12" s="147" t="s">
        <v>188</v>
      </c>
      <c r="G12" s="215"/>
      <c r="H12" s="139"/>
      <c r="I12" s="139"/>
      <c r="J12" s="139"/>
      <c r="K12" s="139"/>
      <c r="L12" s="212" t="str">
        <f t="shared" si="0"/>
        <v>ร.ต.อ.</v>
      </c>
    </row>
    <row r="13" spans="1:44" s="216" customFormat="1" ht="29.25" customHeight="1">
      <c r="A13" s="213">
        <v>6</v>
      </c>
      <c r="B13" s="214" t="s">
        <v>79</v>
      </c>
      <c r="C13" s="141" t="s">
        <v>189</v>
      </c>
      <c r="D13" s="142" t="s">
        <v>190</v>
      </c>
      <c r="E13" s="134" t="s">
        <v>197</v>
      </c>
      <c r="F13" s="147" t="s">
        <v>191</v>
      </c>
      <c r="G13" s="215"/>
      <c r="H13" s="139"/>
      <c r="I13" s="139"/>
      <c r="J13" s="139"/>
      <c r="K13" s="139"/>
      <c r="L13" s="212" t="str">
        <f t="shared" si="0"/>
        <v>ร.ต.อ.</v>
      </c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</row>
    <row r="14" spans="1:44" ht="29.25" customHeight="1">
      <c r="A14" s="213">
        <v>7</v>
      </c>
      <c r="B14" s="141" t="s">
        <v>73</v>
      </c>
      <c r="C14" s="137" t="s">
        <v>198</v>
      </c>
      <c r="D14" s="141" t="s">
        <v>199</v>
      </c>
      <c r="E14" s="134" t="s">
        <v>200</v>
      </c>
      <c r="F14" s="147" t="s">
        <v>203</v>
      </c>
      <c r="G14" s="215"/>
      <c r="H14" s="139"/>
      <c r="I14" s="139"/>
      <c r="J14" s="139"/>
      <c r="K14" s="139"/>
      <c r="L14" s="212" t="str">
        <f t="shared" si="0"/>
        <v>พ.ต.ท.</v>
      </c>
    </row>
    <row r="15" spans="1:44" ht="29.25" customHeight="1">
      <c r="A15" s="213">
        <v>8</v>
      </c>
      <c r="B15" s="214" t="s">
        <v>201</v>
      </c>
      <c r="C15" s="217" t="s">
        <v>338</v>
      </c>
      <c r="D15" s="155" t="s">
        <v>339</v>
      </c>
      <c r="E15" s="134" t="s">
        <v>202</v>
      </c>
      <c r="F15" s="147" t="s">
        <v>340</v>
      </c>
      <c r="G15" s="215"/>
      <c r="H15" s="139"/>
      <c r="I15" s="139"/>
      <c r="J15" s="139"/>
      <c r="K15" s="139"/>
      <c r="L15" s="212" t="str">
        <f t="shared" si="0"/>
        <v>ร.ต.ท.</v>
      </c>
    </row>
    <row r="16" spans="1:44" ht="29.25" customHeight="1">
      <c r="A16" s="213">
        <v>9</v>
      </c>
      <c r="B16" s="214" t="s">
        <v>79</v>
      </c>
      <c r="C16" s="141" t="s">
        <v>204</v>
      </c>
      <c r="D16" s="142" t="s">
        <v>205</v>
      </c>
      <c r="E16" s="134" t="s">
        <v>206</v>
      </c>
      <c r="F16" s="147" t="s">
        <v>207</v>
      </c>
      <c r="G16" s="215"/>
      <c r="H16" s="139"/>
      <c r="I16" s="139"/>
      <c r="J16" s="139"/>
      <c r="K16" s="139"/>
      <c r="L16" s="212" t="str">
        <f t="shared" si="0"/>
        <v>ร.ต.อ.</v>
      </c>
    </row>
    <row r="17" spans="1:44" s="216" customFormat="1" ht="29.25" customHeight="1">
      <c r="A17" s="213">
        <v>10</v>
      </c>
      <c r="B17" s="214" t="s">
        <v>79</v>
      </c>
      <c r="C17" s="141" t="s">
        <v>208</v>
      </c>
      <c r="D17" s="142" t="s">
        <v>209</v>
      </c>
      <c r="E17" s="134" t="s">
        <v>210</v>
      </c>
      <c r="F17" s="147" t="s">
        <v>211</v>
      </c>
      <c r="G17" s="215"/>
      <c r="H17" s="139"/>
      <c r="I17" s="139"/>
      <c r="J17" s="139"/>
      <c r="K17" s="139"/>
      <c r="L17" s="212" t="str">
        <f t="shared" si="0"/>
        <v>ร.ต.อ.</v>
      </c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</row>
    <row r="18" spans="1:44" ht="25.5" customHeight="1">
      <c r="A18" s="270" t="s">
        <v>68</v>
      </c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2"/>
    </row>
    <row r="19" spans="1:44" ht="29.25" customHeight="1">
      <c r="A19" s="213">
        <v>11</v>
      </c>
      <c r="B19" s="218" t="s">
        <v>201</v>
      </c>
      <c r="C19" s="218" t="s">
        <v>343</v>
      </c>
      <c r="D19" s="218" t="s">
        <v>212</v>
      </c>
      <c r="E19" s="219" t="s">
        <v>213</v>
      </c>
      <c r="F19" s="7" t="s">
        <v>214</v>
      </c>
      <c r="G19" s="215"/>
      <c r="H19" s="139"/>
      <c r="I19" s="139"/>
      <c r="J19" s="139"/>
      <c r="K19" s="139"/>
      <c r="L19" s="139" t="str">
        <f t="shared" si="0"/>
        <v>ร.ต.ท.</v>
      </c>
    </row>
    <row r="20" spans="1:44" s="216" customFormat="1" ht="29.25" customHeight="1">
      <c r="A20" s="213">
        <v>12</v>
      </c>
      <c r="B20" s="218" t="s">
        <v>79</v>
      </c>
      <c r="C20" s="218" t="s">
        <v>215</v>
      </c>
      <c r="D20" s="218" t="s">
        <v>216</v>
      </c>
      <c r="E20" s="219" t="s">
        <v>217</v>
      </c>
      <c r="F20" s="7" t="s">
        <v>218</v>
      </c>
      <c r="G20" s="215"/>
      <c r="H20" s="139"/>
      <c r="I20" s="139"/>
      <c r="J20" s="139"/>
      <c r="K20" s="139"/>
      <c r="L20" s="212" t="str">
        <f t="shared" si="0"/>
        <v>ร.ต.อ.</v>
      </c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/>
      <c r="AM20" s="199"/>
      <c r="AN20" s="199"/>
      <c r="AO20" s="199"/>
      <c r="AP20" s="199"/>
      <c r="AQ20" s="199"/>
      <c r="AR20" s="199"/>
    </row>
    <row r="21" spans="1:44" ht="29.25" customHeight="1">
      <c r="A21" s="213">
        <v>13</v>
      </c>
      <c r="B21" s="218" t="s">
        <v>79</v>
      </c>
      <c r="C21" s="218" t="s">
        <v>219</v>
      </c>
      <c r="D21" s="218" t="s">
        <v>220</v>
      </c>
      <c r="E21" s="219" t="s">
        <v>344</v>
      </c>
      <c r="F21" s="7" t="s">
        <v>221</v>
      </c>
      <c r="G21" s="215"/>
      <c r="H21" s="139"/>
      <c r="I21" s="139"/>
      <c r="J21" s="139"/>
      <c r="K21" s="139"/>
      <c r="L21" s="212" t="str">
        <f t="shared" si="0"/>
        <v>ร.ต.อ.</v>
      </c>
    </row>
    <row r="22" spans="1:44" ht="29.25" customHeight="1">
      <c r="A22" s="213">
        <v>14</v>
      </c>
      <c r="B22" s="218" t="s">
        <v>79</v>
      </c>
      <c r="C22" s="218" t="s">
        <v>222</v>
      </c>
      <c r="D22" s="218" t="s">
        <v>223</v>
      </c>
      <c r="E22" s="219" t="s">
        <v>224</v>
      </c>
      <c r="F22" s="7" t="s">
        <v>225</v>
      </c>
      <c r="G22" s="215"/>
      <c r="H22" s="139"/>
      <c r="I22" s="139"/>
      <c r="J22" s="139"/>
      <c r="K22" s="139"/>
      <c r="L22" s="139" t="str">
        <f t="shared" si="0"/>
        <v>ร.ต.อ.</v>
      </c>
    </row>
    <row r="23" spans="1:44" ht="29.25" customHeight="1">
      <c r="A23" s="213">
        <v>15</v>
      </c>
      <c r="B23" s="218" t="s">
        <v>79</v>
      </c>
      <c r="C23" s="218" t="s">
        <v>226</v>
      </c>
      <c r="D23" s="218" t="s">
        <v>227</v>
      </c>
      <c r="E23" s="219" t="s">
        <v>228</v>
      </c>
      <c r="F23" s="7" t="s">
        <v>229</v>
      </c>
      <c r="G23" s="215"/>
      <c r="H23" s="139"/>
      <c r="I23" s="139"/>
      <c r="J23" s="139"/>
      <c r="K23" s="139"/>
      <c r="L23" s="212" t="str">
        <f t="shared" si="0"/>
        <v>ร.ต.อ.</v>
      </c>
    </row>
    <row r="24" spans="1:44" s="216" customFormat="1" ht="29.25" customHeight="1">
      <c r="A24" s="213">
        <v>16</v>
      </c>
      <c r="B24" s="218" t="s">
        <v>79</v>
      </c>
      <c r="C24" s="218" t="s">
        <v>345</v>
      </c>
      <c r="D24" s="218" t="s">
        <v>346</v>
      </c>
      <c r="E24" s="219" t="s">
        <v>347</v>
      </c>
      <c r="F24" s="7" t="s">
        <v>348</v>
      </c>
      <c r="G24" s="215"/>
      <c r="H24" s="139"/>
      <c r="I24" s="139"/>
      <c r="J24" s="139"/>
      <c r="K24" s="139"/>
      <c r="L24" s="212" t="str">
        <f t="shared" si="0"/>
        <v>ร.ต.อ.</v>
      </c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</row>
    <row r="25" spans="1:44" ht="29.25" customHeight="1">
      <c r="A25" s="213">
        <v>17</v>
      </c>
      <c r="B25" s="218" t="s">
        <v>73</v>
      </c>
      <c r="C25" s="218" t="s">
        <v>230</v>
      </c>
      <c r="D25" s="218" t="s">
        <v>231</v>
      </c>
      <c r="E25" s="219" t="s">
        <v>232</v>
      </c>
      <c r="F25" s="7" t="s">
        <v>233</v>
      </c>
      <c r="G25" s="221"/>
      <c r="H25" s="139"/>
      <c r="I25" s="139"/>
      <c r="J25" s="139"/>
      <c r="K25" s="139"/>
      <c r="L25" s="212" t="str">
        <f t="shared" si="0"/>
        <v>พ.ต.ท.</v>
      </c>
    </row>
    <row r="26" spans="1:44" ht="29.25" customHeight="1">
      <c r="A26" s="213">
        <v>18</v>
      </c>
      <c r="B26" s="218" t="s">
        <v>79</v>
      </c>
      <c r="C26" s="218" t="s">
        <v>234</v>
      </c>
      <c r="D26" s="218" t="s">
        <v>235</v>
      </c>
      <c r="E26" s="219" t="s">
        <v>236</v>
      </c>
      <c r="F26" s="7" t="s">
        <v>237</v>
      </c>
      <c r="G26" s="221"/>
      <c r="H26" s="139"/>
      <c r="I26" s="139"/>
      <c r="J26" s="139"/>
      <c r="K26" s="137"/>
      <c r="L26" s="212" t="str">
        <f t="shared" si="0"/>
        <v>ร.ต.อ.</v>
      </c>
    </row>
    <row r="27" spans="1:44" ht="29.25" customHeight="1">
      <c r="A27" s="213">
        <v>19</v>
      </c>
      <c r="B27" s="218" t="s">
        <v>79</v>
      </c>
      <c r="C27" s="218" t="s">
        <v>238</v>
      </c>
      <c r="D27" s="218" t="s">
        <v>239</v>
      </c>
      <c r="E27" s="219" t="s">
        <v>240</v>
      </c>
      <c r="F27" s="7" t="s">
        <v>349</v>
      </c>
      <c r="G27" s="221"/>
      <c r="H27" s="139"/>
      <c r="I27" s="139"/>
      <c r="J27" s="139"/>
      <c r="K27" s="137"/>
      <c r="L27" s="212" t="str">
        <f t="shared" si="0"/>
        <v>ร.ต.อ.</v>
      </c>
    </row>
    <row r="28" spans="1:44" ht="29.25" customHeight="1">
      <c r="A28" s="213">
        <v>20</v>
      </c>
      <c r="B28" s="218" t="s">
        <v>79</v>
      </c>
      <c r="C28" s="218" t="s">
        <v>241</v>
      </c>
      <c r="D28" s="218" t="s">
        <v>242</v>
      </c>
      <c r="E28" s="219" t="s">
        <v>243</v>
      </c>
      <c r="F28" s="7" t="s">
        <v>244</v>
      </c>
      <c r="G28" s="221"/>
      <c r="H28" s="139"/>
      <c r="I28" s="139"/>
      <c r="J28" s="139"/>
      <c r="K28" s="139"/>
      <c r="L28" s="212" t="str">
        <f t="shared" si="0"/>
        <v>ร.ต.อ.</v>
      </c>
    </row>
    <row r="29" spans="1:44" ht="25.5" customHeight="1">
      <c r="A29" s="270" t="s">
        <v>69</v>
      </c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2"/>
    </row>
    <row r="30" spans="1:44" ht="29.25" customHeight="1">
      <c r="A30" s="213">
        <v>21</v>
      </c>
      <c r="B30" s="222" t="s">
        <v>73</v>
      </c>
      <c r="C30" s="223" t="s">
        <v>74</v>
      </c>
      <c r="D30" s="224" t="s">
        <v>75</v>
      </c>
      <c r="E30" s="219" t="s">
        <v>163</v>
      </c>
      <c r="F30" s="245" t="s">
        <v>76</v>
      </c>
      <c r="G30" s="221"/>
      <c r="H30" s="139"/>
      <c r="I30" s="139"/>
      <c r="J30" s="139"/>
      <c r="K30" s="139"/>
      <c r="L30" s="212" t="str">
        <f>B30</f>
        <v>พ.ต.ท.</v>
      </c>
    </row>
    <row r="31" spans="1:44" ht="29.25" customHeight="1">
      <c r="A31" s="213">
        <v>22</v>
      </c>
      <c r="B31" s="222" t="s">
        <v>52</v>
      </c>
      <c r="C31" s="223" t="s">
        <v>350</v>
      </c>
      <c r="D31" s="224" t="s">
        <v>77</v>
      </c>
      <c r="E31" s="219" t="s">
        <v>164</v>
      </c>
      <c r="F31" s="245" t="s">
        <v>78</v>
      </c>
      <c r="G31" s="221"/>
      <c r="H31" s="139"/>
      <c r="I31" s="139"/>
      <c r="J31" s="139"/>
      <c r="K31" s="139"/>
      <c r="L31" s="212" t="str">
        <f t="shared" ref="L31:L39" si="1">B31</f>
        <v>พ.ต.ต.</v>
      </c>
    </row>
    <row r="32" spans="1:44" ht="29.25" customHeight="1">
      <c r="A32" s="213">
        <v>23</v>
      </c>
      <c r="B32" s="222" t="s">
        <v>79</v>
      </c>
      <c r="C32" s="223" t="s">
        <v>80</v>
      </c>
      <c r="D32" s="224" t="s">
        <v>81</v>
      </c>
      <c r="E32" s="219" t="s">
        <v>165</v>
      </c>
      <c r="F32" s="245" t="s">
        <v>82</v>
      </c>
      <c r="G32" s="221"/>
      <c r="H32" s="139"/>
      <c r="I32" s="139"/>
      <c r="J32" s="139"/>
      <c r="K32" s="139"/>
      <c r="L32" s="212" t="str">
        <f t="shared" si="1"/>
        <v>ร.ต.อ.</v>
      </c>
    </row>
    <row r="33" spans="1:44" ht="29.25" customHeight="1">
      <c r="A33" s="213">
        <v>24</v>
      </c>
      <c r="B33" s="222" t="s">
        <v>79</v>
      </c>
      <c r="C33" s="223" t="s">
        <v>83</v>
      </c>
      <c r="D33" s="224" t="s">
        <v>84</v>
      </c>
      <c r="E33" s="219" t="s">
        <v>166</v>
      </c>
      <c r="F33" s="245" t="s">
        <v>85</v>
      </c>
      <c r="G33" s="221"/>
      <c r="H33" s="139"/>
      <c r="I33" s="139"/>
      <c r="J33" s="139"/>
      <c r="K33" s="139"/>
      <c r="L33" s="212" t="str">
        <f t="shared" si="1"/>
        <v>ร.ต.อ.</v>
      </c>
    </row>
    <row r="34" spans="1:44" ht="29.25" customHeight="1">
      <c r="A34" s="213">
        <v>25</v>
      </c>
      <c r="B34" s="222" t="s">
        <v>79</v>
      </c>
      <c r="C34" s="223" t="s">
        <v>86</v>
      </c>
      <c r="D34" s="224" t="s">
        <v>87</v>
      </c>
      <c r="E34" s="219" t="s">
        <v>167</v>
      </c>
      <c r="F34" s="245" t="s">
        <v>88</v>
      </c>
      <c r="G34" s="221"/>
      <c r="H34" s="139"/>
      <c r="I34" s="139"/>
      <c r="J34" s="139"/>
      <c r="K34" s="139"/>
      <c r="L34" s="212" t="str">
        <f t="shared" si="1"/>
        <v>ร.ต.อ.</v>
      </c>
    </row>
    <row r="35" spans="1:44" ht="29.25" customHeight="1">
      <c r="A35" s="213">
        <v>26</v>
      </c>
      <c r="B35" s="222" t="s">
        <v>79</v>
      </c>
      <c r="C35" s="223" t="s">
        <v>160</v>
      </c>
      <c r="D35" s="224" t="s">
        <v>161</v>
      </c>
      <c r="E35" s="219" t="s">
        <v>168</v>
      </c>
      <c r="F35" s="245" t="s">
        <v>162</v>
      </c>
      <c r="G35" s="139"/>
      <c r="H35" s="139"/>
      <c r="I35" s="139"/>
      <c r="J35" s="139"/>
      <c r="K35" s="139"/>
      <c r="L35" s="212" t="str">
        <f t="shared" si="1"/>
        <v>ร.ต.อ.</v>
      </c>
    </row>
    <row r="36" spans="1:44" ht="29.25" customHeight="1">
      <c r="A36" s="213">
        <v>27</v>
      </c>
      <c r="B36" s="222" t="s">
        <v>79</v>
      </c>
      <c r="C36" s="223" t="s">
        <v>89</v>
      </c>
      <c r="D36" s="224" t="s">
        <v>90</v>
      </c>
      <c r="E36" s="219" t="s">
        <v>91</v>
      </c>
      <c r="F36" s="245" t="s">
        <v>92</v>
      </c>
      <c r="G36" s="221"/>
      <c r="H36" s="139"/>
      <c r="I36" s="139"/>
      <c r="J36" s="139"/>
      <c r="K36" s="139"/>
      <c r="L36" s="212" t="str">
        <f t="shared" si="1"/>
        <v>ร.ต.อ.</v>
      </c>
    </row>
    <row r="37" spans="1:44" s="216" customFormat="1" ht="29.25" customHeight="1">
      <c r="A37" s="213">
        <v>28</v>
      </c>
      <c r="B37" s="222" t="s">
        <v>79</v>
      </c>
      <c r="C37" s="223" t="s">
        <v>93</v>
      </c>
      <c r="D37" s="224" t="s">
        <v>94</v>
      </c>
      <c r="E37" s="219" t="s">
        <v>351</v>
      </c>
      <c r="F37" s="245" t="s">
        <v>95</v>
      </c>
      <c r="G37" s="215"/>
      <c r="H37" s="139"/>
      <c r="I37" s="139"/>
      <c r="J37" s="139"/>
      <c r="K37" s="139"/>
      <c r="L37" s="212" t="str">
        <f t="shared" si="1"/>
        <v>ร.ต.อ.</v>
      </c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</row>
    <row r="38" spans="1:44" ht="29.25" customHeight="1">
      <c r="A38" s="213">
        <v>29</v>
      </c>
      <c r="B38" s="222" t="s">
        <v>79</v>
      </c>
      <c r="C38" s="223" t="s">
        <v>96</v>
      </c>
      <c r="D38" s="224" t="s">
        <v>97</v>
      </c>
      <c r="E38" s="219" t="s">
        <v>98</v>
      </c>
      <c r="F38" s="245" t="s">
        <v>99</v>
      </c>
      <c r="G38" s="215"/>
      <c r="H38" s="139"/>
      <c r="I38" s="139"/>
      <c r="J38" s="139"/>
      <c r="K38" s="139"/>
      <c r="L38" s="212" t="str">
        <f t="shared" si="1"/>
        <v>ร.ต.อ.</v>
      </c>
    </row>
    <row r="39" spans="1:44" ht="29.25" customHeight="1">
      <c r="A39" s="213">
        <v>30</v>
      </c>
      <c r="B39" s="222" t="s">
        <v>79</v>
      </c>
      <c r="C39" s="223" t="s">
        <v>100</v>
      </c>
      <c r="D39" s="224" t="s">
        <v>101</v>
      </c>
      <c r="E39" s="219" t="s">
        <v>102</v>
      </c>
      <c r="F39" s="245" t="s">
        <v>352</v>
      </c>
      <c r="G39" s="215"/>
      <c r="H39" s="139"/>
      <c r="I39" s="139"/>
      <c r="J39" s="139"/>
      <c r="K39" s="139"/>
      <c r="L39" s="212" t="str">
        <f t="shared" si="1"/>
        <v>ร.ต.อ.</v>
      </c>
    </row>
    <row r="40" spans="1:44" ht="25.5" customHeight="1">
      <c r="A40" s="270" t="s">
        <v>70</v>
      </c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2"/>
    </row>
    <row r="41" spans="1:44" ht="29.25" customHeight="1">
      <c r="A41" s="213">
        <v>31</v>
      </c>
      <c r="B41" s="225" t="s">
        <v>73</v>
      </c>
      <c r="C41" s="137" t="s">
        <v>119</v>
      </c>
      <c r="D41" s="138" t="s">
        <v>120</v>
      </c>
      <c r="E41" s="145" t="s">
        <v>121</v>
      </c>
      <c r="F41" s="140" t="s">
        <v>122</v>
      </c>
      <c r="G41" s="215"/>
      <c r="H41" s="139"/>
      <c r="I41" s="139"/>
      <c r="J41" s="139"/>
      <c r="K41" s="139"/>
      <c r="L41" s="212" t="str">
        <f t="shared" ref="L41:L58" si="2">B41</f>
        <v>พ.ต.ท.</v>
      </c>
    </row>
    <row r="42" spans="1:44" s="216" customFormat="1" ht="29.25" customHeight="1">
      <c r="A42" s="213">
        <v>32</v>
      </c>
      <c r="B42" s="225" t="s">
        <v>73</v>
      </c>
      <c r="C42" s="137" t="s">
        <v>131</v>
      </c>
      <c r="D42" s="138" t="s">
        <v>132</v>
      </c>
      <c r="E42" s="145" t="s">
        <v>133</v>
      </c>
      <c r="F42" s="140" t="s">
        <v>123</v>
      </c>
      <c r="G42" s="215"/>
      <c r="H42" s="139"/>
      <c r="I42" s="139"/>
      <c r="J42" s="139"/>
      <c r="K42" s="139"/>
      <c r="L42" s="212" t="str">
        <f t="shared" si="2"/>
        <v>พ.ต.ท.</v>
      </c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  <c r="AK42" s="199"/>
      <c r="AL42" s="199"/>
      <c r="AM42" s="199"/>
      <c r="AN42" s="199"/>
      <c r="AO42" s="199"/>
      <c r="AP42" s="199"/>
      <c r="AQ42" s="199"/>
      <c r="AR42" s="199"/>
    </row>
    <row r="43" spans="1:44" ht="29.25" customHeight="1">
      <c r="A43" s="213">
        <v>33</v>
      </c>
      <c r="B43" s="225" t="s">
        <v>79</v>
      </c>
      <c r="C43" s="137" t="s">
        <v>429</v>
      </c>
      <c r="D43" s="138" t="s">
        <v>354</v>
      </c>
      <c r="E43" s="145" t="s">
        <v>134</v>
      </c>
      <c r="F43" s="140" t="s">
        <v>353</v>
      </c>
      <c r="G43" s="215"/>
      <c r="H43" s="139"/>
      <c r="I43" s="139"/>
      <c r="J43" s="139"/>
      <c r="K43" s="139"/>
      <c r="L43" s="212" t="str">
        <f t="shared" si="2"/>
        <v>ร.ต.อ.</v>
      </c>
    </row>
    <row r="44" spans="1:44" ht="29.25" customHeight="1">
      <c r="A44" s="213">
        <v>34</v>
      </c>
      <c r="B44" s="225" t="s">
        <v>79</v>
      </c>
      <c r="C44" s="137" t="s">
        <v>135</v>
      </c>
      <c r="D44" s="138" t="s">
        <v>136</v>
      </c>
      <c r="E44" s="145" t="s">
        <v>150</v>
      </c>
      <c r="F44" s="140" t="s">
        <v>124</v>
      </c>
      <c r="G44" s="215"/>
      <c r="H44" s="139"/>
      <c r="I44" s="139"/>
      <c r="J44" s="139"/>
      <c r="K44" s="139"/>
      <c r="L44" s="212" t="str">
        <f t="shared" si="2"/>
        <v>ร.ต.อ.</v>
      </c>
    </row>
    <row r="45" spans="1:44" ht="29.25" customHeight="1">
      <c r="A45" s="213">
        <v>35</v>
      </c>
      <c r="B45" s="225" t="s">
        <v>79</v>
      </c>
      <c r="C45" s="226" t="s">
        <v>137</v>
      </c>
      <c r="D45" s="138" t="s">
        <v>138</v>
      </c>
      <c r="E45" s="145" t="s">
        <v>152</v>
      </c>
      <c r="F45" s="140" t="s">
        <v>125</v>
      </c>
      <c r="G45" s="215"/>
      <c r="H45" s="139"/>
      <c r="I45" s="139"/>
      <c r="J45" s="139"/>
      <c r="K45" s="139"/>
      <c r="L45" s="212" t="str">
        <f t="shared" si="2"/>
        <v>ร.ต.อ.</v>
      </c>
    </row>
    <row r="46" spans="1:44" ht="29.25" customHeight="1">
      <c r="A46" s="213">
        <v>36</v>
      </c>
      <c r="B46" s="225" t="s">
        <v>79</v>
      </c>
      <c r="C46" s="137" t="s">
        <v>139</v>
      </c>
      <c r="D46" s="156" t="s">
        <v>140</v>
      </c>
      <c r="E46" s="145" t="s">
        <v>151</v>
      </c>
      <c r="F46" s="140" t="s">
        <v>126</v>
      </c>
      <c r="H46" s="139"/>
      <c r="I46" s="139"/>
      <c r="J46" s="139"/>
      <c r="K46" s="139"/>
      <c r="L46" s="212" t="str">
        <f t="shared" si="2"/>
        <v>ร.ต.อ.</v>
      </c>
    </row>
    <row r="47" spans="1:44" ht="29.25" customHeight="1">
      <c r="A47" s="213">
        <v>37</v>
      </c>
      <c r="B47" s="225" t="s">
        <v>79</v>
      </c>
      <c r="C47" s="137" t="s">
        <v>142</v>
      </c>
      <c r="D47" s="156" t="s">
        <v>143</v>
      </c>
      <c r="E47" s="145" t="s">
        <v>153</v>
      </c>
      <c r="F47" s="140" t="s">
        <v>127</v>
      </c>
      <c r="G47" s="215"/>
      <c r="H47" s="139"/>
      <c r="I47" s="139"/>
      <c r="J47" s="139"/>
      <c r="K47" s="139"/>
      <c r="L47" s="139" t="str">
        <f t="shared" si="2"/>
        <v>ร.ต.อ.</v>
      </c>
    </row>
    <row r="48" spans="1:44" ht="29.25" customHeight="1">
      <c r="A48" s="213">
        <v>38</v>
      </c>
      <c r="B48" s="225" t="s">
        <v>79</v>
      </c>
      <c r="C48" s="137" t="s">
        <v>144</v>
      </c>
      <c r="D48" s="156" t="s">
        <v>145</v>
      </c>
      <c r="E48" s="145" t="s">
        <v>154</v>
      </c>
      <c r="F48" s="140" t="s">
        <v>128</v>
      </c>
      <c r="G48" s="215"/>
      <c r="H48" s="139"/>
      <c r="I48" s="139"/>
      <c r="J48" s="139"/>
      <c r="K48" s="139"/>
      <c r="L48" s="139" t="str">
        <f t="shared" si="2"/>
        <v>ร.ต.อ.</v>
      </c>
    </row>
    <row r="49" spans="1:13" ht="29.25" customHeight="1">
      <c r="A49" s="213">
        <v>39</v>
      </c>
      <c r="B49" s="225" t="s">
        <v>79</v>
      </c>
      <c r="C49" s="137" t="s">
        <v>146</v>
      </c>
      <c r="D49" s="156" t="s">
        <v>147</v>
      </c>
      <c r="E49" s="145" t="s">
        <v>155</v>
      </c>
      <c r="F49" s="140" t="s">
        <v>129</v>
      </c>
      <c r="G49" s="215"/>
      <c r="H49" s="139"/>
      <c r="I49" s="139"/>
      <c r="J49" s="139"/>
      <c r="K49" s="139"/>
      <c r="L49" s="139" t="str">
        <f t="shared" si="2"/>
        <v>ร.ต.อ.</v>
      </c>
    </row>
    <row r="50" spans="1:13" ht="29.25" customHeight="1">
      <c r="A50" s="213">
        <v>40</v>
      </c>
      <c r="B50" s="225" t="s">
        <v>141</v>
      </c>
      <c r="C50" s="137" t="s">
        <v>148</v>
      </c>
      <c r="D50" s="138" t="s">
        <v>149</v>
      </c>
      <c r="E50" s="145" t="s">
        <v>156</v>
      </c>
      <c r="F50" s="140" t="s">
        <v>130</v>
      </c>
      <c r="G50" s="215"/>
      <c r="H50" s="139"/>
      <c r="I50" s="139"/>
      <c r="J50" s="139"/>
      <c r="K50" s="139"/>
      <c r="L50" s="139" t="str">
        <f t="shared" si="2"/>
        <v>ร.ต.ต.</v>
      </c>
    </row>
    <row r="51" spans="1:13" ht="25.5" customHeight="1">
      <c r="A51" s="270" t="s">
        <v>335</v>
      </c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2"/>
    </row>
    <row r="52" spans="1:13" ht="29.25" customHeight="1">
      <c r="A52" s="213">
        <v>41</v>
      </c>
      <c r="B52" s="228" t="s">
        <v>79</v>
      </c>
      <c r="C52" s="223" t="s">
        <v>333</v>
      </c>
      <c r="D52" s="229" t="s">
        <v>334</v>
      </c>
      <c r="E52" s="220" t="s">
        <v>336</v>
      </c>
      <c r="F52" s="7" t="s">
        <v>337</v>
      </c>
      <c r="G52" s="215"/>
      <c r="H52" s="139"/>
      <c r="I52" s="139"/>
      <c r="J52" s="139"/>
      <c r="K52" s="139"/>
      <c r="L52" s="139" t="str">
        <f t="shared" si="2"/>
        <v>ร.ต.อ.</v>
      </c>
    </row>
    <row r="53" spans="1:13" ht="29.25" customHeight="1">
      <c r="A53" s="270" t="s">
        <v>71</v>
      </c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2"/>
    </row>
    <row r="54" spans="1:13" ht="29.25" customHeight="1">
      <c r="A54" s="213">
        <v>42</v>
      </c>
      <c r="B54" s="228" t="s">
        <v>79</v>
      </c>
      <c r="C54" s="223" t="s">
        <v>103</v>
      </c>
      <c r="D54" s="229" t="s">
        <v>104</v>
      </c>
      <c r="E54" s="230" t="s">
        <v>169</v>
      </c>
      <c r="F54" s="7" t="s">
        <v>105</v>
      </c>
      <c r="G54" s="215"/>
      <c r="H54" s="139"/>
      <c r="I54" s="139"/>
      <c r="J54" s="139"/>
      <c r="K54" s="139"/>
      <c r="L54" s="139" t="str">
        <f t="shared" si="2"/>
        <v>ร.ต.อ.</v>
      </c>
    </row>
    <row r="55" spans="1:13" ht="29.25" customHeight="1">
      <c r="A55" s="213">
        <v>43</v>
      </c>
      <c r="B55" s="231" t="s">
        <v>79</v>
      </c>
      <c r="C55" s="232" t="s">
        <v>355</v>
      </c>
      <c r="D55" s="224" t="s">
        <v>356</v>
      </c>
      <c r="E55" s="219" t="s">
        <v>361</v>
      </c>
      <c r="F55" s="7" t="s">
        <v>106</v>
      </c>
      <c r="G55" s="215"/>
      <c r="H55" s="139"/>
      <c r="I55" s="139"/>
      <c r="J55" s="139"/>
      <c r="K55" s="139"/>
      <c r="L55" s="139" t="str">
        <f t="shared" si="2"/>
        <v>ร.ต.อ.</v>
      </c>
    </row>
    <row r="56" spans="1:13" ht="29.25" customHeight="1">
      <c r="A56" s="213">
        <v>44</v>
      </c>
      <c r="B56" s="231" t="s">
        <v>79</v>
      </c>
      <c r="C56" s="232" t="s">
        <v>357</v>
      </c>
      <c r="D56" s="224" t="s">
        <v>358</v>
      </c>
      <c r="E56" s="219" t="s">
        <v>361</v>
      </c>
      <c r="F56" s="7" t="s">
        <v>107</v>
      </c>
      <c r="G56" s="215"/>
      <c r="H56" s="139"/>
      <c r="I56" s="139"/>
      <c r="J56" s="139"/>
      <c r="K56" s="139"/>
      <c r="L56" s="139" t="str">
        <f t="shared" si="2"/>
        <v>ร.ต.อ.</v>
      </c>
    </row>
    <row r="57" spans="1:13" ht="29.25" customHeight="1">
      <c r="A57" s="213">
        <v>45</v>
      </c>
      <c r="B57" s="233" t="s">
        <v>79</v>
      </c>
      <c r="C57" s="234" t="s">
        <v>359</v>
      </c>
      <c r="D57" s="235" t="s">
        <v>360</v>
      </c>
      <c r="E57" s="236" t="s">
        <v>362</v>
      </c>
      <c r="F57" s="246" t="s">
        <v>175</v>
      </c>
      <c r="G57" s="215"/>
      <c r="H57" s="139"/>
      <c r="I57" s="139"/>
      <c r="J57" s="139"/>
      <c r="K57" s="139"/>
      <c r="L57" s="139" t="str">
        <f t="shared" si="2"/>
        <v>ร.ต.อ.</v>
      </c>
    </row>
    <row r="58" spans="1:13" ht="29.25" customHeight="1">
      <c r="A58" s="213">
        <v>46</v>
      </c>
      <c r="B58" s="231" t="s">
        <v>79</v>
      </c>
      <c r="C58" s="232" t="s">
        <v>108</v>
      </c>
      <c r="D58" s="224" t="s">
        <v>109</v>
      </c>
      <c r="E58" s="219" t="s">
        <v>170</v>
      </c>
      <c r="F58" s="7" t="s">
        <v>110</v>
      </c>
      <c r="G58" s="215"/>
      <c r="H58" s="139"/>
      <c r="I58" s="139"/>
      <c r="J58" s="139"/>
      <c r="K58" s="139"/>
      <c r="L58" s="139" t="str">
        <f t="shared" si="2"/>
        <v>ร.ต.อ.</v>
      </c>
    </row>
    <row r="59" spans="1:13" ht="29.25" customHeight="1">
      <c r="A59" s="213">
        <v>47</v>
      </c>
      <c r="B59" s="231" t="s">
        <v>79</v>
      </c>
      <c r="C59" s="232" t="s">
        <v>363</v>
      </c>
      <c r="D59" s="224" t="s">
        <v>111</v>
      </c>
      <c r="E59" s="219" t="s">
        <v>171</v>
      </c>
      <c r="F59" s="7" t="s">
        <v>112</v>
      </c>
      <c r="G59" s="215"/>
      <c r="H59" s="139"/>
      <c r="I59" s="139"/>
      <c r="J59" s="139"/>
      <c r="K59" s="139"/>
      <c r="L59" s="212" t="str">
        <f>B59</f>
        <v>ร.ต.อ.</v>
      </c>
      <c r="M59" s="237"/>
    </row>
    <row r="60" spans="1:13" ht="29.25" customHeight="1">
      <c r="A60" s="213">
        <v>48</v>
      </c>
      <c r="B60" s="231" t="s">
        <v>79</v>
      </c>
      <c r="C60" s="232" t="s">
        <v>113</v>
      </c>
      <c r="D60" s="224" t="s">
        <v>114</v>
      </c>
      <c r="E60" s="219" t="s">
        <v>172</v>
      </c>
      <c r="F60" s="7" t="s">
        <v>115</v>
      </c>
      <c r="G60" s="215"/>
      <c r="H60" s="139"/>
      <c r="I60" s="139"/>
      <c r="J60" s="139"/>
      <c r="K60" s="139"/>
      <c r="L60" s="212" t="str">
        <f>B60</f>
        <v>ร.ต.อ.</v>
      </c>
      <c r="M60" s="237"/>
    </row>
    <row r="61" spans="1:13" ht="29.25" customHeight="1">
      <c r="A61" s="213">
        <v>49</v>
      </c>
      <c r="B61" s="231" t="s">
        <v>79</v>
      </c>
      <c r="C61" s="232" t="s">
        <v>116</v>
      </c>
      <c r="D61" s="224" t="s">
        <v>117</v>
      </c>
      <c r="E61" s="219" t="s">
        <v>173</v>
      </c>
      <c r="F61" s="7" t="s">
        <v>118</v>
      </c>
      <c r="G61" s="215"/>
      <c r="H61" s="139"/>
      <c r="I61" s="139"/>
      <c r="J61" s="139"/>
      <c r="K61" s="139"/>
      <c r="L61" s="139" t="str">
        <f>B61</f>
        <v>ร.ต.อ.</v>
      </c>
    </row>
    <row r="62" spans="1:13" ht="25.5" customHeight="1">
      <c r="A62" s="205" t="s">
        <v>174</v>
      </c>
      <c r="B62" s="206"/>
      <c r="C62" s="206"/>
      <c r="D62" s="206"/>
      <c r="E62" s="206"/>
      <c r="F62" s="197"/>
      <c r="G62" s="206"/>
      <c r="H62" s="206"/>
      <c r="I62" s="206"/>
      <c r="J62" s="206"/>
      <c r="K62" s="206"/>
      <c r="L62" s="207"/>
    </row>
    <row r="63" spans="1:13" ht="29.25" customHeight="1">
      <c r="A63" s="213">
        <v>50</v>
      </c>
      <c r="B63" s="225" t="s">
        <v>79</v>
      </c>
      <c r="C63" s="137" t="s">
        <v>157</v>
      </c>
      <c r="D63" s="138" t="s">
        <v>158</v>
      </c>
      <c r="E63" s="139" t="s">
        <v>159</v>
      </c>
      <c r="F63" s="140"/>
      <c r="G63" s="215"/>
      <c r="H63" s="139"/>
      <c r="I63" s="139"/>
      <c r="J63" s="139"/>
      <c r="K63" s="139"/>
      <c r="L63" s="139" t="str">
        <f>B63</f>
        <v>ร.ต.อ.</v>
      </c>
      <c r="M63" s="237"/>
    </row>
  </sheetData>
  <mergeCells count="11">
    <mergeCell ref="A7:L7"/>
    <mergeCell ref="A53:L53"/>
    <mergeCell ref="A1:L1"/>
    <mergeCell ref="A2:L2"/>
    <mergeCell ref="A3:L3"/>
    <mergeCell ref="A4:L4"/>
    <mergeCell ref="B6:D6"/>
    <mergeCell ref="A18:L18"/>
    <mergeCell ref="A29:L29"/>
    <mergeCell ref="A40:L40"/>
    <mergeCell ref="A51:L51"/>
  </mergeCells>
  <pageMargins left="0.19" right="0.17" top="0.36" bottom="0.35" header="0.26" footer="0.17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A1:AG61"/>
  <sheetViews>
    <sheetView workbookViewId="0">
      <selection activeCell="C41" sqref="C41"/>
    </sheetView>
  </sheetViews>
  <sheetFormatPr defaultRowHeight="26.25" customHeight="1"/>
  <cols>
    <col min="1" max="1" width="4.875" style="238" customWidth="1"/>
    <col min="2" max="2" width="5.125" style="153" customWidth="1"/>
    <col min="3" max="3" width="8.625" style="153" bestFit="1" customWidth="1"/>
    <col min="4" max="4" width="12.375" style="153" bestFit="1" customWidth="1"/>
    <col min="5" max="5" width="33.5" style="153" bestFit="1" customWidth="1"/>
    <col min="6" max="6" width="13.625" style="238" customWidth="1"/>
    <col min="7" max="7" width="15.875" style="227" customWidth="1"/>
    <col min="8" max="8" width="9" style="199"/>
    <col min="9" max="9" width="24.875" style="199" customWidth="1"/>
    <col min="10" max="10" width="32.375" style="199" bestFit="1" customWidth="1"/>
    <col min="11" max="33" width="9" style="199"/>
    <col min="34" max="16384" width="9" style="153"/>
  </cols>
  <sheetData>
    <row r="1" spans="1:33" ht="22.5">
      <c r="A1" s="273" t="s">
        <v>0</v>
      </c>
      <c r="B1" s="273"/>
      <c r="C1" s="273"/>
      <c r="D1" s="273"/>
      <c r="E1" s="273"/>
      <c r="F1" s="273"/>
      <c r="G1" s="273"/>
    </row>
    <row r="2" spans="1:33" ht="22.5">
      <c r="A2" s="273" t="s">
        <v>246</v>
      </c>
      <c r="B2" s="273"/>
      <c r="C2" s="273"/>
      <c r="D2" s="273"/>
      <c r="E2" s="273"/>
      <c r="F2" s="273"/>
      <c r="G2" s="273"/>
    </row>
    <row r="3" spans="1:33" ht="22.5">
      <c r="A3" s="273" t="s">
        <v>72</v>
      </c>
      <c r="B3" s="273"/>
      <c r="C3" s="273"/>
      <c r="D3" s="273"/>
      <c r="E3" s="273"/>
      <c r="F3" s="273"/>
      <c r="G3" s="273"/>
    </row>
    <row r="4" spans="1:33" s="204" customFormat="1" ht="25.5" customHeight="1">
      <c r="A4" s="200" t="s">
        <v>3</v>
      </c>
      <c r="B4" s="278" t="s">
        <v>18</v>
      </c>
      <c r="C4" s="278"/>
      <c r="D4" s="278"/>
      <c r="E4" s="200" t="s">
        <v>10</v>
      </c>
      <c r="F4" s="200" t="s">
        <v>19</v>
      </c>
      <c r="G4" s="201" t="s">
        <v>247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</row>
    <row r="5" spans="1:33" s="199" customFormat="1" ht="25.5" customHeight="1">
      <c r="A5" s="270" t="s">
        <v>7</v>
      </c>
      <c r="B5" s="271"/>
      <c r="C5" s="271"/>
      <c r="D5" s="271"/>
      <c r="E5" s="271"/>
      <c r="F5" s="271"/>
      <c r="G5" s="272"/>
    </row>
    <row r="6" spans="1:33" s="199" customFormat="1" ht="25.5" customHeight="1">
      <c r="A6" s="208">
        <v>1</v>
      </c>
      <c r="B6" s="209" t="s">
        <v>52</v>
      </c>
      <c r="C6" s="210" t="s">
        <v>176</v>
      </c>
      <c r="D6" s="154" t="s">
        <v>177</v>
      </c>
      <c r="E6" s="128" t="s">
        <v>192</v>
      </c>
      <c r="F6" s="147" t="s">
        <v>178</v>
      </c>
      <c r="G6" s="240"/>
      <c r="I6" s="199" t="s">
        <v>248</v>
      </c>
      <c r="J6" s="199" t="s">
        <v>192</v>
      </c>
    </row>
    <row r="7" spans="1:33" ht="25.5" customHeight="1">
      <c r="A7" s="208">
        <v>2</v>
      </c>
      <c r="B7" s="209" t="s">
        <v>79</v>
      </c>
      <c r="C7" s="210" t="s">
        <v>179</v>
      </c>
      <c r="D7" s="154" t="s">
        <v>341</v>
      </c>
      <c r="E7" s="128" t="s">
        <v>193</v>
      </c>
      <c r="F7" s="147" t="s">
        <v>342</v>
      </c>
      <c r="G7" s="240"/>
      <c r="I7" s="199" t="s">
        <v>364</v>
      </c>
      <c r="J7" s="199" t="s">
        <v>193</v>
      </c>
      <c r="X7" s="153"/>
      <c r="Y7" s="153"/>
      <c r="Z7" s="153"/>
      <c r="AA7" s="153"/>
      <c r="AB7" s="153"/>
      <c r="AC7" s="153"/>
      <c r="AD7" s="153"/>
      <c r="AE7" s="153"/>
      <c r="AF7" s="153"/>
      <c r="AG7" s="153"/>
    </row>
    <row r="8" spans="1:33" s="216" customFormat="1" ht="25.5" customHeight="1">
      <c r="A8" s="213">
        <v>3</v>
      </c>
      <c r="B8" s="214" t="s">
        <v>79</v>
      </c>
      <c r="C8" s="141" t="s">
        <v>180</v>
      </c>
      <c r="D8" s="142" t="s">
        <v>181</v>
      </c>
      <c r="E8" s="134" t="s">
        <v>194</v>
      </c>
      <c r="F8" s="147" t="s">
        <v>182</v>
      </c>
      <c r="G8" s="215"/>
      <c r="H8" s="199"/>
      <c r="I8" s="199" t="s">
        <v>249</v>
      </c>
      <c r="J8" s="199" t="s">
        <v>194</v>
      </c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</row>
    <row r="9" spans="1:33" ht="25.5" customHeight="1">
      <c r="A9" s="213">
        <v>4</v>
      </c>
      <c r="B9" s="214" t="s">
        <v>79</v>
      </c>
      <c r="C9" s="141" t="s">
        <v>183</v>
      </c>
      <c r="D9" s="142" t="s">
        <v>184</v>
      </c>
      <c r="E9" s="134" t="s">
        <v>195</v>
      </c>
      <c r="F9" s="147" t="s">
        <v>185</v>
      </c>
      <c r="G9" s="215"/>
      <c r="I9" s="199" t="s">
        <v>250</v>
      </c>
      <c r="J9" s="199" t="s">
        <v>195</v>
      </c>
      <c r="X9" s="153"/>
      <c r="Y9" s="153"/>
      <c r="Z9" s="153"/>
      <c r="AA9" s="153"/>
      <c r="AB9" s="153"/>
      <c r="AC9" s="153"/>
      <c r="AD9" s="153"/>
      <c r="AE9" s="153"/>
      <c r="AF9" s="153"/>
      <c r="AG9" s="153"/>
    </row>
    <row r="10" spans="1:33" s="216" customFormat="1" ht="25.5" customHeight="1">
      <c r="A10" s="213">
        <v>5</v>
      </c>
      <c r="B10" s="214" t="s">
        <v>79</v>
      </c>
      <c r="C10" s="141" t="s">
        <v>186</v>
      </c>
      <c r="D10" s="142" t="s">
        <v>187</v>
      </c>
      <c r="E10" s="134" t="s">
        <v>196</v>
      </c>
      <c r="F10" s="147" t="s">
        <v>188</v>
      </c>
      <c r="G10" s="215"/>
      <c r="H10" s="199"/>
      <c r="I10" s="199" t="s">
        <v>251</v>
      </c>
      <c r="J10" s="199" t="s">
        <v>196</v>
      </c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</row>
    <row r="11" spans="1:33" ht="25.5" customHeight="1">
      <c r="A11" s="213">
        <v>6</v>
      </c>
      <c r="B11" s="214" t="s">
        <v>79</v>
      </c>
      <c r="C11" s="141" t="s">
        <v>189</v>
      </c>
      <c r="D11" s="142" t="s">
        <v>190</v>
      </c>
      <c r="E11" s="134" t="s">
        <v>197</v>
      </c>
      <c r="F11" s="147" t="s">
        <v>191</v>
      </c>
      <c r="G11" s="215"/>
      <c r="I11" s="199" t="s">
        <v>252</v>
      </c>
      <c r="J11" s="199" t="s">
        <v>197</v>
      </c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</row>
    <row r="12" spans="1:33" ht="25.5" customHeight="1">
      <c r="A12" s="213">
        <v>7</v>
      </c>
      <c r="B12" s="141" t="s">
        <v>73</v>
      </c>
      <c r="C12" s="137" t="s">
        <v>198</v>
      </c>
      <c r="D12" s="141" t="s">
        <v>199</v>
      </c>
      <c r="E12" s="134" t="s">
        <v>200</v>
      </c>
      <c r="F12" s="147" t="s">
        <v>203</v>
      </c>
      <c r="G12" s="215"/>
      <c r="I12" s="199" t="s">
        <v>253</v>
      </c>
      <c r="J12" s="199" t="s">
        <v>200</v>
      </c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</row>
    <row r="13" spans="1:33" ht="25.5" customHeight="1">
      <c r="A13" s="213">
        <v>8</v>
      </c>
      <c r="B13" s="214" t="s">
        <v>201</v>
      </c>
      <c r="C13" s="217" t="s">
        <v>338</v>
      </c>
      <c r="D13" s="155" t="s">
        <v>339</v>
      </c>
      <c r="E13" s="134" t="s">
        <v>202</v>
      </c>
      <c r="F13" s="147" t="s">
        <v>340</v>
      </c>
      <c r="G13" s="215"/>
      <c r="I13" s="199" t="s">
        <v>365</v>
      </c>
      <c r="J13" s="199" t="s">
        <v>202</v>
      </c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</row>
    <row r="14" spans="1:33" s="216" customFormat="1" ht="25.5" customHeight="1">
      <c r="A14" s="213">
        <v>9</v>
      </c>
      <c r="B14" s="214" t="s">
        <v>79</v>
      </c>
      <c r="C14" s="141" t="s">
        <v>204</v>
      </c>
      <c r="D14" s="142" t="s">
        <v>205</v>
      </c>
      <c r="E14" s="134" t="s">
        <v>206</v>
      </c>
      <c r="F14" s="147" t="s">
        <v>207</v>
      </c>
      <c r="G14" s="215"/>
      <c r="H14" s="199"/>
      <c r="I14" s="199" t="s">
        <v>254</v>
      </c>
      <c r="J14" s="199" t="s">
        <v>206</v>
      </c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</row>
    <row r="15" spans="1:33" ht="25.5" customHeight="1">
      <c r="A15" s="213">
        <v>10</v>
      </c>
      <c r="B15" s="214" t="s">
        <v>79</v>
      </c>
      <c r="C15" s="141" t="s">
        <v>208</v>
      </c>
      <c r="D15" s="142" t="s">
        <v>209</v>
      </c>
      <c r="E15" s="134" t="s">
        <v>210</v>
      </c>
      <c r="F15" s="147" t="s">
        <v>211</v>
      </c>
      <c r="G15" s="215"/>
      <c r="I15" s="199" t="s">
        <v>255</v>
      </c>
      <c r="J15" s="199" t="s">
        <v>210</v>
      </c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</row>
    <row r="16" spans="1:33" ht="25.5" customHeight="1">
      <c r="A16" s="270" t="s">
        <v>68</v>
      </c>
      <c r="B16" s="271"/>
      <c r="C16" s="271"/>
      <c r="D16" s="271"/>
      <c r="E16" s="271"/>
      <c r="F16" s="271"/>
      <c r="G16" s="272"/>
      <c r="I16" s="199" t="s">
        <v>366</v>
      </c>
      <c r="J16" s="199" t="s">
        <v>213</v>
      </c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</row>
    <row r="17" spans="1:33" s="216" customFormat="1" ht="25.5" customHeight="1">
      <c r="A17" s="213">
        <v>11</v>
      </c>
      <c r="B17" s="218" t="s">
        <v>201</v>
      </c>
      <c r="C17" s="218" t="s">
        <v>343</v>
      </c>
      <c r="D17" s="218" t="s">
        <v>212</v>
      </c>
      <c r="E17" s="219" t="s">
        <v>213</v>
      </c>
      <c r="F17" s="7" t="s">
        <v>214</v>
      </c>
      <c r="G17" s="215"/>
      <c r="H17" s="199"/>
      <c r="I17" s="199" t="s">
        <v>256</v>
      </c>
      <c r="J17" s="199" t="s">
        <v>217</v>
      </c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</row>
    <row r="18" spans="1:33" ht="25.5" customHeight="1">
      <c r="A18" s="213">
        <v>12</v>
      </c>
      <c r="B18" s="218" t="s">
        <v>79</v>
      </c>
      <c r="C18" s="218" t="s">
        <v>215</v>
      </c>
      <c r="D18" s="218" t="s">
        <v>216</v>
      </c>
      <c r="E18" s="219" t="s">
        <v>217</v>
      </c>
      <c r="F18" s="7" t="s">
        <v>218</v>
      </c>
      <c r="G18" s="215"/>
      <c r="I18" s="199" t="s">
        <v>257</v>
      </c>
      <c r="J18" s="199" t="s">
        <v>344</v>
      </c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</row>
    <row r="19" spans="1:33" ht="25.5" customHeight="1">
      <c r="A19" s="213">
        <v>13</v>
      </c>
      <c r="B19" s="218" t="s">
        <v>79</v>
      </c>
      <c r="C19" s="218" t="s">
        <v>219</v>
      </c>
      <c r="D19" s="218" t="s">
        <v>220</v>
      </c>
      <c r="E19" s="219" t="s">
        <v>344</v>
      </c>
      <c r="F19" s="7" t="s">
        <v>221</v>
      </c>
      <c r="G19" s="215"/>
      <c r="I19" s="199" t="s">
        <v>258</v>
      </c>
      <c r="J19" s="199" t="s">
        <v>224</v>
      </c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</row>
    <row r="20" spans="1:33" ht="25.5" customHeight="1">
      <c r="A20" s="213">
        <v>14</v>
      </c>
      <c r="B20" s="218" t="s">
        <v>79</v>
      </c>
      <c r="C20" s="218" t="s">
        <v>222</v>
      </c>
      <c r="D20" s="218" t="s">
        <v>223</v>
      </c>
      <c r="E20" s="219" t="s">
        <v>224</v>
      </c>
      <c r="F20" s="7" t="s">
        <v>225</v>
      </c>
      <c r="G20" s="215"/>
      <c r="I20" s="199" t="s">
        <v>259</v>
      </c>
      <c r="J20" s="199" t="s">
        <v>228</v>
      </c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</row>
    <row r="21" spans="1:33" s="216" customFormat="1" ht="25.5" customHeight="1">
      <c r="A21" s="213">
        <v>15</v>
      </c>
      <c r="B21" s="218" t="s">
        <v>79</v>
      </c>
      <c r="C21" s="218" t="s">
        <v>226</v>
      </c>
      <c r="D21" s="218" t="s">
        <v>227</v>
      </c>
      <c r="E21" s="219" t="s">
        <v>228</v>
      </c>
      <c r="F21" s="7" t="s">
        <v>229</v>
      </c>
      <c r="G21" s="215"/>
      <c r="H21" s="199"/>
      <c r="I21" s="199" t="s">
        <v>367</v>
      </c>
      <c r="J21" s="199" t="s">
        <v>347</v>
      </c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</row>
    <row r="22" spans="1:33" ht="25.5" customHeight="1">
      <c r="A22" s="213">
        <v>16</v>
      </c>
      <c r="B22" s="218" t="s">
        <v>79</v>
      </c>
      <c r="C22" s="218" t="s">
        <v>345</v>
      </c>
      <c r="D22" s="218" t="s">
        <v>346</v>
      </c>
      <c r="E22" s="219" t="s">
        <v>347</v>
      </c>
      <c r="F22" s="7" t="s">
        <v>348</v>
      </c>
      <c r="G22" s="215"/>
      <c r="I22" s="199" t="s">
        <v>368</v>
      </c>
      <c r="J22" s="199" t="s">
        <v>232</v>
      </c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</row>
    <row r="23" spans="1:33" ht="25.5" customHeight="1">
      <c r="A23" s="213">
        <v>17</v>
      </c>
      <c r="B23" s="218" t="s">
        <v>73</v>
      </c>
      <c r="C23" s="218" t="s">
        <v>230</v>
      </c>
      <c r="D23" s="218" t="s">
        <v>231</v>
      </c>
      <c r="E23" s="219" t="s">
        <v>232</v>
      </c>
      <c r="F23" s="7" t="s">
        <v>233</v>
      </c>
      <c r="G23" s="221"/>
      <c r="I23" s="199" t="s">
        <v>260</v>
      </c>
      <c r="J23" s="199" t="s">
        <v>236</v>
      </c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</row>
    <row r="24" spans="1:33" ht="25.5" customHeight="1">
      <c r="A24" s="213">
        <v>18</v>
      </c>
      <c r="B24" s="218" t="s">
        <v>79</v>
      </c>
      <c r="C24" s="218" t="s">
        <v>234</v>
      </c>
      <c r="D24" s="218" t="s">
        <v>235</v>
      </c>
      <c r="E24" s="219" t="s">
        <v>236</v>
      </c>
      <c r="F24" s="7" t="s">
        <v>237</v>
      </c>
      <c r="G24" s="221"/>
      <c r="I24" s="199" t="s">
        <v>261</v>
      </c>
      <c r="J24" s="199" t="s">
        <v>240</v>
      </c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</row>
    <row r="25" spans="1:33" ht="25.5" customHeight="1">
      <c r="A25" s="213">
        <v>19</v>
      </c>
      <c r="B25" s="218" t="s">
        <v>79</v>
      </c>
      <c r="C25" s="218" t="s">
        <v>238</v>
      </c>
      <c r="D25" s="218" t="s">
        <v>239</v>
      </c>
      <c r="E25" s="219" t="s">
        <v>240</v>
      </c>
      <c r="F25" s="7" t="s">
        <v>349</v>
      </c>
      <c r="G25" s="221"/>
      <c r="I25" s="199" t="s">
        <v>262</v>
      </c>
      <c r="J25" s="199" t="s">
        <v>243</v>
      </c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</row>
    <row r="26" spans="1:33" ht="25.5" customHeight="1">
      <c r="A26" s="213">
        <v>20</v>
      </c>
      <c r="B26" s="218" t="s">
        <v>79</v>
      </c>
      <c r="C26" s="218" t="s">
        <v>241</v>
      </c>
      <c r="D26" s="218" t="s">
        <v>242</v>
      </c>
      <c r="E26" s="219" t="s">
        <v>243</v>
      </c>
      <c r="F26" s="7" t="s">
        <v>244</v>
      </c>
      <c r="G26" s="221"/>
      <c r="I26" s="199" t="s">
        <v>263</v>
      </c>
      <c r="J26" s="199" t="s">
        <v>163</v>
      </c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</row>
    <row r="27" spans="1:33" ht="25.5" customHeight="1">
      <c r="A27" s="270" t="s">
        <v>69</v>
      </c>
      <c r="B27" s="271"/>
      <c r="C27" s="271"/>
      <c r="D27" s="271"/>
      <c r="E27" s="271"/>
      <c r="F27" s="271"/>
      <c r="G27" s="272"/>
      <c r="I27" s="199" t="s">
        <v>369</v>
      </c>
      <c r="J27" s="199" t="s">
        <v>164</v>
      </c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</row>
    <row r="28" spans="1:33" ht="25.5" customHeight="1">
      <c r="A28" s="213">
        <v>21</v>
      </c>
      <c r="B28" s="222" t="s">
        <v>73</v>
      </c>
      <c r="C28" s="223" t="s">
        <v>74</v>
      </c>
      <c r="D28" s="224" t="s">
        <v>75</v>
      </c>
      <c r="E28" s="219" t="s">
        <v>163</v>
      </c>
      <c r="F28" s="245" t="s">
        <v>76</v>
      </c>
      <c r="G28" s="221"/>
      <c r="I28" s="199" t="s">
        <v>264</v>
      </c>
      <c r="J28" s="199" t="s">
        <v>165</v>
      </c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</row>
    <row r="29" spans="1:33" ht="25.5" customHeight="1">
      <c r="A29" s="213">
        <v>22</v>
      </c>
      <c r="B29" s="222" t="s">
        <v>52</v>
      </c>
      <c r="C29" s="223" t="s">
        <v>350</v>
      </c>
      <c r="D29" s="224" t="s">
        <v>77</v>
      </c>
      <c r="E29" s="219" t="s">
        <v>164</v>
      </c>
      <c r="F29" s="245" t="s">
        <v>78</v>
      </c>
      <c r="G29" s="221"/>
      <c r="I29" s="199" t="s">
        <v>265</v>
      </c>
      <c r="J29" s="199" t="s">
        <v>166</v>
      </c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</row>
    <row r="30" spans="1:33" ht="25.5" customHeight="1">
      <c r="A30" s="213">
        <v>23</v>
      </c>
      <c r="B30" s="222" t="s">
        <v>79</v>
      </c>
      <c r="C30" s="223" t="s">
        <v>80</v>
      </c>
      <c r="D30" s="224" t="s">
        <v>81</v>
      </c>
      <c r="E30" s="219" t="s">
        <v>165</v>
      </c>
      <c r="F30" s="245" t="s">
        <v>82</v>
      </c>
      <c r="G30" s="221"/>
      <c r="I30" s="199" t="s">
        <v>266</v>
      </c>
      <c r="J30" s="199" t="s">
        <v>167</v>
      </c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</row>
    <row r="31" spans="1:33" ht="25.5" customHeight="1">
      <c r="A31" s="213">
        <v>24</v>
      </c>
      <c r="B31" s="222" t="s">
        <v>79</v>
      </c>
      <c r="C31" s="223" t="s">
        <v>83</v>
      </c>
      <c r="D31" s="224" t="s">
        <v>84</v>
      </c>
      <c r="E31" s="219" t="s">
        <v>166</v>
      </c>
      <c r="F31" s="245" t="s">
        <v>85</v>
      </c>
      <c r="G31" s="221"/>
      <c r="I31" s="199" t="s">
        <v>267</v>
      </c>
      <c r="J31" s="199" t="s">
        <v>168</v>
      </c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</row>
    <row r="32" spans="1:33" ht="25.5" customHeight="1">
      <c r="A32" s="213">
        <v>25</v>
      </c>
      <c r="B32" s="222" t="s">
        <v>79</v>
      </c>
      <c r="C32" s="223" t="s">
        <v>86</v>
      </c>
      <c r="D32" s="224" t="s">
        <v>87</v>
      </c>
      <c r="E32" s="219" t="s">
        <v>167</v>
      </c>
      <c r="F32" s="245" t="s">
        <v>88</v>
      </c>
      <c r="G32" s="221"/>
      <c r="I32" s="199" t="s">
        <v>268</v>
      </c>
      <c r="J32" s="199" t="s">
        <v>91</v>
      </c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</row>
    <row r="33" spans="1:33" ht="25.5" customHeight="1">
      <c r="A33" s="213">
        <v>26</v>
      </c>
      <c r="B33" s="222" t="s">
        <v>79</v>
      </c>
      <c r="C33" s="223" t="s">
        <v>160</v>
      </c>
      <c r="D33" s="224" t="s">
        <v>161</v>
      </c>
      <c r="E33" s="219" t="s">
        <v>168</v>
      </c>
      <c r="F33" s="245" t="s">
        <v>162</v>
      </c>
      <c r="G33" s="139"/>
      <c r="I33" s="199" t="s">
        <v>269</v>
      </c>
      <c r="J33" s="199" t="s">
        <v>351</v>
      </c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</row>
    <row r="34" spans="1:33" s="216" customFormat="1" ht="25.5" customHeight="1">
      <c r="A34" s="213">
        <v>27</v>
      </c>
      <c r="B34" s="222" t="s">
        <v>79</v>
      </c>
      <c r="C34" s="223" t="s">
        <v>89</v>
      </c>
      <c r="D34" s="224" t="s">
        <v>90</v>
      </c>
      <c r="E34" s="219" t="s">
        <v>91</v>
      </c>
      <c r="F34" s="245" t="s">
        <v>92</v>
      </c>
      <c r="G34" s="221"/>
      <c r="H34" s="199"/>
      <c r="I34" s="199" t="s">
        <v>270</v>
      </c>
      <c r="J34" s="199" t="s">
        <v>98</v>
      </c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</row>
    <row r="35" spans="1:33" ht="25.5" customHeight="1">
      <c r="A35" s="213">
        <v>28</v>
      </c>
      <c r="B35" s="222" t="s">
        <v>79</v>
      </c>
      <c r="C35" s="223" t="s">
        <v>93</v>
      </c>
      <c r="D35" s="224" t="s">
        <v>94</v>
      </c>
      <c r="E35" s="219" t="s">
        <v>351</v>
      </c>
      <c r="F35" s="245" t="s">
        <v>95</v>
      </c>
      <c r="G35" s="215"/>
      <c r="I35" s="199" t="s">
        <v>271</v>
      </c>
      <c r="J35" s="199" t="s">
        <v>102</v>
      </c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</row>
    <row r="36" spans="1:33" ht="25.5" customHeight="1">
      <c r="A36" s="213">
        <v>29</v>
      </c>
      <c r="B36" s="222" t="s">
        <v>79</v>
      </c>
      <c r="C36" s="223" t="s">
        <v>96</v>
      </c>
      <c r="D36" s="224" t="s">
        <v>97</v>
      </c>
      <c r="E36" s="219" t="s">
        <v>98</v>
      </c>
      <c r="F36" s="245" t="s">
        <v>99</v>
      </c>
      <c r="G36" s="215"/>
      <c r="I36" s="199" t="s">
        <v>272</v>
      </c>
      <c r="J36" s="199" t="s">
        <v>121</v>
      </c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</row>
    <row r="37" spans="1:33" ht="25.5" customHeight="1">
      <c r="A37" s="213">
        <v>30</v>
      </c>
      <c r="B37" s="222" t="s">
        <v>79</v>
      </c>
      <c r="C37" s="223" t="s">
        <v>100</v>
      </c>
      <c r="D37" s="224" t="s">
        <v>101</v>
      </c>
      <c r="E37" s="219" t="s">
        <v>102</v>
      </c>
      <c r="F37" s="245" t="s">
        <v>352</v>
      </c>
      <c r="G37" s="215"/>
      <c r="I37" s="199" t="s">
        <v>273</v>
      </c>
      <c r="J37" s="199" t="s">
        <v>133</v>
      </c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</row>
    <row r="38" spans="1:33" ht="25.5" customHeight="1">
      <c r="A38" s="270" t="s">
        <v>70</v>
      </c>
      <c r="B38" s="271"/>
      <c r="C38" s="271"/>
      <c r="D38" s="271"/>
      <c r="E38" s="271"/>
      <c r="F38" s="271"/>
      <c r="G38" s="272"/>
      <c r="I38" s="199" t="s">
        <v>370</v>
      </c>
      <c r="J38" s="199" t="s">
        <v>134</v>
      </c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</row>
    <row r="39" spans="1:33" s="216" customFormat="1" ht="25.5" customHeight="1">
      <c r="A39" s="213">
        <v>31</v>
      </c>
      <c r="B39" s="225" t="s">
        <v>73</v>
      </c>
      <c r="C39" s="137" t="s">
        <v>119</v>
      </c>
      <c r="D39" s="138" t="s">
        <v>120</v>
      </c>
      <c r="E39" s="145" t="s">
        <v>121</v>
      </c>
      <c r="F39" s="140" t="s">
        <v>122</v>
      </c>
      <c r="G39" s="215"/>
      <c r="H39" s="199"/>
      <c r="I39" s="199" t="s">
        <v>274</v>
      </c>
      <c r="J39" s="199" t="s">
        <v>150</v>
      </c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</row>
    <row r="40" spans="1:33" ht="25.5" customHeight="1">
      <c r="A40" s="213">
        <v>32</v>
      </c>
      <c r="B40" s="225" t="s">
        <v>73</v>
      </c>
      <c r="C40" s="137" t="s">
        <v>131</v>
      </c>
      <c r="D40" s="138" t="s">
        <v>132</v>
      </c>
      <c r="E40" s="145" t="s">
        <v>133</v>
      </c>
      <c r="F40" s="140" t="s">
        <v>123</v>
      </c>
      <c r="G40" s="215"/>
      <c r="I40" s="199" t="s">
        <v>275</v>
      </c>
      <c r="J40" s="199" t="s">
        <v>152</v>
      </c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</row>
    <row r="41" spans="1:33" ht="25.5" customHeight="1">
      <c r="A41" s="213">
        <v>33</v>
      </c>
      <c r="B41" s="225" t="s">
        <v>79</v>
      </c>
      <c r="C41" s="137" t="s">
        <v>429</v>
      </c>
      <c r="D41" s="138" t="s">
        <v>354</v>
      </c>
      <c r="E41" s="145" t="s">
        <v>134</v>
      </c>
      <c r="F41" s="140" t="s">
        <v>353</v>
      </c>
      <c r="G41" s="215"/>
      <c r="I41" s="199" t="s">
        <v>276</v>
      </c>
      <c r="J41" s="199" t="s">
        <v>151</v>
      </c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</row>
    <row r="42" spans="1:33" ht="25.5" customHeight="1">
      <c r="A42" s="213">
        <v>34</v>
      </c>
      <c r="B42" s="225" t="s">
        <v>79</v>
      </c>
      <c r="C42" s="137" t="s">
        <v>135</v>
      </c>
      <c r="D42" s="138" t="s">
        <v>136</v>
      </c>
      <c r="E42" s="145" t="s">
        <v>150</v>
      </c>
      <c r="F42" s="140" t="s">
        <v>124</v>
      </c>
      <c r="G42" s="215"/>
      <c r="I42" s="199" t="s">
        <v>277</v>
      </c>
      <c r="J42" s="199" t="s">
        <v>153</v>
      </c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</row>
    <row r="43" spans="1:33" ht="25.5" customHeight="1">
      <c r="A43" s="213">
        <v>35</v>
      </c>
      <c r="B43" s="225" t="s">
        <v>79</v>
      </c>
      <c r="C43" s="241" t="s">
        <v>137</v>
      </c>
      <c r="D43" s="138" t="s">
        <v>138</v>
      </c>
      <c r="E43" s="145" t="s">
        <v>152</v>
      </c>
      <c r="F43" s="140" t="s">
        <v>125</v>
      </c>
      <c r="G43" s="215"/>
      <c r="I43" s="199" t="s">
        <v>278</v>
      </c>
      <c r="J43" s="199" t="s">
        <v>154</v>
      </c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</row>
    <row r="44" spans="1:33" ht="25.5" customHeight="1">
      <c r="A44" s="213">
        <v>36</v>
      </c>
      <c r="B44" s="225" t="s">
        <v>79</v>
      </c>
      <c r="C44" s="137" t="s">
        <v>139</v>
      </c>
      <c r="D44" s="156" t="s">
        <v>140</v>
      </c>
      <c r="E44" s="145" t="s">
        <v>151</v>
      </c>
      <c r="F44" s="140" t="s">
        <v>126</v>
      </c>
      <c r="G44" s="242"/>
      <c r="I44" s="199" t="s">
        <v>279</v>
      </c>
      <c r="J44" s="199" t="s">
        <v>155</v>
      </c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</row>
    <row r="45" spans="1:33" ht="25.5" customHeight="1">
      <c r="A45" s="213">
        <v>37</v>
      </c>
      <c r="B45" s="225" t="s">
        <v>79</v>
      </c>
      <c r="C45" s="137" t="s">
        <v>142</v>
      </c>
      <c r="D45" s="156" t="s">
        <v>143</v>
      </c>
      <c r="E45" s="145" t="s">
        <v>153</v>
      </c>
      <c r="F45" s="140" t="s">
        <v>127</v>
      </c>
      <c r="G45" s="215"/>
      <c r="I45" s="199" t="s">
        <v>280</v>
      </c>
      <c r="J45" s="199" t="s">
        <v>156</v>
      </c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</row>
    <row r="46" spans="1:33" ht="25.5" customHeight="1">
      <c r="A46" s="213">
        <v>38</v>
      </c>
      <c r="B46" s="225" t="s">
        <v>79</v>
      </c>
      <c r="C46" s="137" t="s">
        <v>144</v>
      </c>
      <c r="D46" s="156" t="s">
        <v>145</v>
      </c>
      <c r="E46" s="145" t="s">
        <v>154</v>
      </c>
      <c r="F46" s="140" t="s">
        <v>128</v>
      </c>
      <c r="G46" s="215"/>
      <c r="I46" s="199" t="s">
        <v>371</v>
      </c>
      <c r="J46" s="199" t="s">
        <v>336</v>
      </c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</row>
    <row r="47" spans="1:33" ht="25.5" customHeight="1">
      <c r="A47" s="213">
        <v>39</v>
      </c>
      <c r="B47" s="225" t="s">
        <v>79</v>
      </c>
      <c r="C47" s="137" t="s">
        <v>146</v>
      </c>
      <c r="D47" s="156" t="s">
        <v>147</v>
      </c>
      <c r="E47" s="145" t="s">
        <v>155</v>
      </c>
      <c r="F47" s="140" t="s">
        <v>129</v>
      </c>
      <c r="G47" s="215"/>
      <c r="I47" s="199" t="s">
        <v>281</v>
      </c>
      <c r="J47" s="199" t="s">
        <v>169</v>
      </c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</row>
    <row r="48" spans="1:33" ht="25.5" customHeight="1">
      <c r="A48" s="213">
        <v>40</v>
      </c>
      <c r="B48" s="225" t="s">
        <v>141</v>
      </c>
      <c r="C48" s="137" t="s">
        <v>148</v>
      </c>
      <c r="D48" s="138" t="s">
        <v>149</v>
      </c>
      <c r="E48" s="145" t="s">
        <v>156</v>
      </c>
      <c r="F48" s="140" t="s">
        <v>130</v>
      </c>
      <c r="G48" s="215"/>
      <c r="I48" s="199" t="s">
        <v>372</v>
      </c>
      <c r="J48" s="199" t="s">
        <v>361</v>
      </c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</row>
    <row r="49" spans="1:33" ht="25.5" customHeight="1">
      <c r="A49" s="270" t="s">
        <v>335</v>
      </c>
      <c r="B49" s="271"/>
      <c r="C49" s="271"/>
      <c r="D49" s="271"/>
      <c r="E49" s="271"/>
      <c r="F49" s="271"/>
      <c r="G49" s="272"/>
      <c r="I49" s="199" t="s">
        <v>373</v>
      </c>
      <c r="J49" s="199" t="s">
        <v>361</v>
      </c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</row>
    <row r="50" spans="1:33" ht="25.5" customHeight="1">
      <c r="A50" s="213">
        <v>41</v>
      </c>
      <c r="B50" s="228" t="s">
        <v>79</v>
      </c>
      <c r="C50" s="223" t="s">
        <v>333</v>
      </c>
      <c r="D50" s="229" t="s">
        <v>334</v>
      </c>
      <c r="E50" s="220" t="s">
        <v>336</v>
      </c>
      <c r="F50" s="7" t="s">
        <v>337</v>
      </c>
      <c r="G50" s="215"/>
      <c r="I50" s="199" t="s">
        <v>374</v>
      </c>
      <c r="J50" s="199" t="s">
        <v>362</v>
      </c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</row>
    <row r="51" spans="1:33" ht="25.5" customHeight="1">
      <c r="A51" s="270" t="s">
        <v>71</v>
      </c>
      <c r="B51" s="271"/>
      <c r="C51" s="271"/>
      <c r="D51" s="271"/>
      <c r="E51" s="271"/>
      <c r="F51" s="271"/>
      <c r="G51" s="272"/>
      <c r="I51" s="199" t="s">
        <v>282</v>
      </c>
      <c r="J51" s="199" t="s">
        <v>170</v>
      </c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</row>
    <row r="52" spans="1:33" ht="25.5" customHeight="1">
      <c r="A52" s="213">
        <v>42</v>
      </c>
      <c r="B52" s="228" t="s">
        <v>79</v>
      </c>
      <c r="C52" s="223" t="s">
        <v>103</v>
      </c>
      <c r="D52" s="229" t="s">
        <v>104</v>
      </c>
      <c r="E52" s="230" t="s">
        <v>169</v>
      </c>
      <c r="F52" s="7" t="s">
        <v>105</v>
      </c>
      <c r="G52" s="215"/>
      <c r="I52" s="199" t="s">
        <v>375</v>
      </c>
      <c r="J52" s="199" t="s">
        <v>171</v>
      </c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</row>
    <row r="53" spans="1:33" ht="25.5" customHeight="1">
      <c r="A53" s="213">
        <v>43</v>
      </c>
      <c r="B53" s="231" t="s">
        <v>79</v>
      </c>
      <c r="C53" s="232" t="s">
        <v>355</v>
      </c>
      <c r="D53" s="224" t="s">
        <v>356</v>
      </c>
      <c r="E53" s="219" t="s">
        <v>361</v>
      </c>
      <c r="F53" s="7" t="s">
        <v>106</v>
      </c>
      <c r="G53" s="215"/>
      <c r="I53" s="199" t="s">
        <v>283</v>
      </c>
      <c r="J53" s="199" t="s">
        <v>172</v>
      </c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</row>
    <row r="54" spans="1:33" ht="25.5" customHeight="1">
      <c r="A54" s="213">
        <v>44</v>
      </c>
      <c r="B54" s="231" t="s">
        <v>79</v>
      </c>
      <c r="C54" s="232" t="s">
        <v>357</v>
      </c>
      <c r="D54" s="224" t="s">
        <v>358</v>
      </c>
      <c r="E54" s="219" t="s">
        <v>361</v>
      </c>
      <c r="F54" s="7" t="s">
        <v>107</v>
      </c>
      <c r="G54" s="215"/>
      <c r="I54" s="199" t="s">
        <v>284</v>
      </c>
      <c r="J54" s="199" t="s">
        <v>173</v>
      </c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</row>
    <row r="55" spans="1:33" ht="25.5" customHeight="1">
      <c r="A55" s="213">
        <v>45</v>
      </c>
      <c r="B55" s="233" t="s">
        <v>79</v>
      </c>
      <c r="C55" s="234" t="s">
        <v>359</v>
      </c>
      <c r="D55" s="235" t="s">
        <v>360</v>
      </c>
      <c r="E55" s="236" t="s">
        <v>362</v>
      </c>
      <c r="F55" s="246" t="s">
        <v>175</v>
      </c>
      <c r="G55" s="215"/>
      <c r="I55" s="199" t="s">
        <v>285</v>
      </c>
      <c r="J55" s="199" t="s">
        <v>159</v>
      </c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</row>
    <row r="56" spans="1:33" ht="25.5" customHeight="1">
      <c r="A56" s="213">
        <v>46</v>
      </c>
      <c r="B56" s="231" t="s">
        <v>79</v>
      </c>
      <c r="C56" s="232" t="s">
        <v>108</v>
      </c>
      <c r="D56" s="224" t="s">
        <v>109</v>
      </c>
      <c r="E56" s="219" t="s">
        <v>170</v>
      </c>
      <c r="F56" s="7" t="s">
        <v>110</v>
      </c>
      <c r="G56" s="215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</row>
    <row r="57" spans="1:33" ht="25.5" customHeight="1">
      <c r="A57" s="213">
        <v>47</v>
      </c>
      <c r="B57" s="231" t="s">
        <v>79</v>
      </c>
      <c r="C57" s="232" t="s">
        <v>363</v>
      </c>
      <c r="D57" s="224" t="s">
        <v>111</v>
      </c>
      <c r="E57" s="219" t="s">
        <v>171</v>
      </c>
      <c r="F57" s="7" t="s">
        <v>112</v>
      </c>
      <c r="G57" s="215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</row>
    <row r="58" spans="1:33" ht="25.5" customHeight="1">
      <c r="A58" s="213">
        <v>48</v>
      </c>
      <c r="B58" s="231" t="s">
        <v>79</v>
      </c>
      <c r="C58" s="232" t="s">
        <v>113</v>
      </c>
      <c r="D58" s="224" t="s">
        <v>114</v>
      </c>
      <c r="E58" s="219" t="s">
        <v>172</v>
      </c>
      <c r="F58" s="7" t="s">
        <v>115</v>
      </c>
      <c r="G58" s="215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</row>
    <row r="59" spans="1:33" ht="25.5" customHeight="1">
      <c r="A59" s="213">
        <v>49</v>
      </c>
      <c r="B59" s="231" t="s">
        <v>79</v>
      </c>
      <c r="C59" s="232" t="s">
        <v>116</v>
      </c>
      <c r="D59" s="224" t="s">
        <v>117</v>
      </c>
      <c r="E59" s="219" t="s">
        <v>173</v>
      </c>
      <c r="F59" s="7" t="s">
        <v>118</v>
      </c>
      <c r="G59" s="215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</row>
    <row r="60" spans="1:33" ht="25.5" customHeight="1">
      <c r="A60" s="205" t="s">
        <v>174</v>
      </c>
      <c r="B60" s="206"/>
      <c r="C60" s="206"/>
      <c r="D60" s="206"/>
      <c r="E60" s="206"/>
      <c r="F60" s="197"/>
      <c r="G60" s="207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</row>
    <row r="61" spans="1:33" ht="26.25" customHeight="1">
      <c r="A61" s="213">
        <v>50</v>
      </c>
      <c r="B61" s="225" t="s">
        <v>79</v>
      </c>
      <c r="C61" s="137" t="s">
        <v>157</v>
      </c>
      <c r="D61" s="138" t="s">
        <v>158</v>
      </c>
      <c r="E61" s="139" t="s">
        <v>159</v>
      </c>
      <c r="F61" s="140"/>
      <c r="G61" s="215"/>
    </row>
  </sheetData>
  <mergeCells count="10">
    <mergeCell ref="A16:G16"/>
    <mergeCell ref="A27:G27"/>
    <mergeCell ref="A38:G38"/>
    <mergeCell ref="A49:G49"/>
    <mergeCell ref="A51:G51"/>
    <mergeCell ref="A1:G1"/>
    <mergeCell ref="B4:D4"/>
    <mergeCell ref="A3:G3"/>
    <mergeCell ref="A2:G2"/>
    <mergeCell ref="A5:G5"/>
  </mergeCells>
  <pageMargins left="0.19" right="0.17" top="0.36" bottom="0.3" header="0.26" footer="0.17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7"/>
  <sheetViews>
    <sheetView zoomScale="115" zoomScaleNormal="115" workbookViewId="0">
      <selection activeCell="C11" sqref="C11"/>
    </sheetView>
  </sheetViews>
  <sheetFormatPr defaultRowHeight="21.75" customHeight="1"/>
  <cols>
    <col min="1" max="1" width="4.875" style="194" customWidth="1"/>
    <col min="2" max="2" width="5.75" style="191" bestFit="1" customWidth="1"/>
    <col min="3" max="3" width="8.25" style="195" bestFit="1" customWidth="1"/>
    <col min="4" max="4" width="9.125" style="195" customWidth="1"/>
    <col min="5" max="5" width="26.5" style="195" customWidth="1"/>
    <col min="6" max="10" width="6.5" style="195" customWidth="1"/>
    <col min="11" max="11" width="6.5" style="191" customWidth="1"/>
    <col min="12" max="12" width="10.125" style="191" customWidth="1"/>
    <col min="13" max="13" width="25.5" style="191" bestFit="1" customWidth="1"/>
    <col min="14" max="14" width="34.875" style="191" bestFit="1" customWidth="1"/>
    <col min="15" max="16384" width="9" style="191"/>
  </cols>
  <sheetData>
    <row r="1" spans="1:11" ht="21.75" customHeight="1">
      <c r="A1" s="279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</row>
    <row r="2" spans="1:11" ht="21.75" customHeight="1">
      <c r="A2" s="279" t="s">
        <v>48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</row>
    <row r="3" spans="1:11" ht="21.75" customHeight="1">
      <c r="A3" s="280" t="s">
        <v>72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</row>
    <row r="4" spans="1:11" ht="21.75" customHeight="1">
      <c r="A4" s="286" t="s">
        <v>3</v>
      </c>
      <c r="B4" s="281" t="s">
        <v>18</v>
      </c>
      <c r="C4" s="281"/>
      <c r="D4" s="281"/>
      <c r="E4" s="282" t="s">
        <v>10</v>
      </c>
      <c r="F4" s="283" t="s">
        <v>67</v>
      </c>
      <c r="G4" s="284"/>
      <c r="H4" s="284"/>
      <c r="I4" s="284"/>
      <c r="J4" s="284"/>
      <c r="K4" s="285"/>
    </row>
    <row r="5" spans="1:11" ht="21.75" customHeight="1">
      <c r="A5" s="287"/>
      <c r="B5" s="281"/>
      <c r="C5" s="281"/>
      <c r="D5" s="281"/>
      <c r="E5" s="282"/>
      <c r="F5" s="193"/>
      <c r="G5" s="193"/>
      <c r="H5" s="193"/>
      <c r="I5" s="193"/>
      <c r="J5" s="193"/>
      <c r="K5" s="192"/>
    </row>
    <row r="6" spans="1:11" ht="21.75" customHeight="1">
      <c r="A6" s="191"/>
      <c r="C6" s="191"/>
      <c r="D6" s="191"/>
      <c r="E6" s="191"/>
      <c r="F6" s="191"/>
      <c r="G6" s="191"/>
      <c r="H6" s="191"/>
      <c r="I6" s="191"/>
      <c r="J6" s="191"/>
    </row>
    <row r="7" spans="1:11" ht="21.75" customHeight="1">
      <c r="A7" s="191"/>
      <c r="C7" s="191"/>
      <c r="D7" s="191"/>
      <c r="E7" s="191"/>
      <c r="F7" s="191"/>
      <c r="G7" s="191"/>
      <c r="H7" s="191"/>
      <c r="I7" s="191"/>
      <c r="J7" s="191"/>
    </row>
    <row r="8" spans="1:11" ht="21.75" customHeight="1">
      <c r="A8" s="191"/>
      <c r="C8" s="191"/>
      <c r="D8" s="191"/>
      <c r="E8" s="191"/>
      <c r="F8" s="191"/>
      <c r="G8" s="191"/>
      <c r="H8" s="191"/>
      <c r="I8" s="191"/>
      <c r="J8" s="191"/>
    </row>
    <row r="9" spans="1:11" ht="21.75" customHeight="1">
      <c r="A9" s="191"/>
      <c r="C9" s="191"/>
      <c r="D9" s="191"/>
      <c r="E9" s="191"/>
      <c r="F9" s="191"/>
      <c r="G9" s="191"/>
      <c r="H9" s="191"/>
      <c r="I9" s="191"/>
      <c r="J9" s="191"/>
    </row>
    <row r="10" spans="1:11" ht="21.75" customHeight="1">
      <c r="A10" s="191"/>
      <c r="C10" s="191"/>
      <c r="D10" s="191"/>
      <c r="E10" s="191"/>
      <c r="F10" s="191"/>
      <c r="G10" s="191"/>
      <c r="H10" s="191"/>
      <c r="I10" s="191"/>
      <c r="J10" s="191"/>
    </row>
    <row r="11" spans="1:11" ht="21.75" customHeight="1">
      <c r="A11" s="191"/>
      <c r="C11" s="191"/>
      <c r="D11" s="191"/>
      <c r="E11" s="191"/>
      <c r="F11" s="191"/>
      <c r="G11" s="191"/>
      <c r="H11" s="191"/>
      <c r="I11" s="191"/>
      <c r="J11" s="191"/>
    </row>
    <row r="12" spans="1:11" ht="21.75" customHeight="1">
      <c r="A12" s="191"/>
      <c r="C12" s="191"/>
      <c r="D12" s="191"/>
      <c r="E12" s="191"/>
      <c r="F12" s="191"/>
      <c r="G12" s="191"/>
      <c r="H12" s="191"/>
      <c r="I12" s="191"/>
      <c r="J12" s="191"/>
    </row>
    <row r="13" spans="1:11" ht="21.75" customHeight="1">
      <c r="A13" s="191"/>
      <c r="C13" s="191"/>
      <c r="D13" s="191"/>
      <c r="E13" s="191"/>
      <c r="F13" s="191"/>
      <c r="G13" s="191"/>
      <c r="H13" s="191"/>
      <c r="I13" s="191"/>
      <c r="J13" s="191"/>
    </row>
    <row r="14" spans="1:11" ht="21.75" customHeight="1">
      <c r="A14" s="191"/>
      <c r="C14" s="191"/>
      <c r="D14" s="191"/>
      <c r="E14" s="191"/>
      <c r="F14" s="191"/>
      <c r="G14" s="191"/>
      <c r="H14" s="191"/>
      <c r="I14" s="191"/>
      <c r="J14" s="191"/>
    </row>
    <row r="15" spans="1:11" ht="21.75" customHeight="1">
      <c r="A15" s="191"/>
      <c r="C15" s="191"/>
      <c r="D15" s="191"/>
      <c r="E15" s="191"/>
      <c r="F15" s="191"/>
      <c r="G15" s="191"/>
      <c r="H15" s="191"/>
      <c r="I15" s="191"/>
      <c r="J15" s="191"/>
    </row>
    <row r="16" spans="1:11" ht="21.75" customHeight="1">
      <c r="A16" s="191"/>
      <c r="C16" s="191"/>
      <c r="D16" s="191"/>
      <c r="E16" s="191"/>
      <c r="F16" s="191"/>
      <c r="G16" s="191"/>
      <c r="H16" s="191"/>
      <c r="I16" s="191"/>
      <c r="J16" s="191"/>
    </row>
    <row r="17" spans="1:10" ht="21.75" customHeight="1">
      <c r="A17" s="191"/>
      <c r="C17" s="191"/>
      <c r="D17" s="191"/>
      <c r="E17" s="191"/>
      <c r="F17" s="191"/>
      <c r="G17" s="191"/>
      <c r="H17" s="191"/>
      <c r="I17" s="191"/>
      <c r="J17" s="191"/>
    </row>
    <row r="18" spans="1:10" ht="21.75" customHeight="1">
      <c r="A18" s="191"/>
      <c r="C18" s="191"/>
      <c r="D18" s="191"/>
      <c r="E18" s="191"/>
      <c r="F18" s="191"/>
      <c r="G18" s="191"/>
      <c r="H18" s="191"/>
      <c r="I18" s="191"/>
      <c r="J18" s="191"/>
    </row>
    <row r="19" spans="1:10" ht="21.75" customHeight="1">
      <c r="A19" s="191"/>
      <c r="C19" s="191"/>
      <c r="D19" s="191"/>
      <c r="E19" s="191"/>
      <c r="F19" s="191"/>
      <c r="G19" s="191"/>
      <c r="H19" s="191"/>
      <c r="I19" s="191"/>
      <c r="J19" s="191"/>
    </row>
    <row r="20" spans="1:10" ht="21.75" customHeight="1">
      <c r="A20" s="191"/>
      <c r="C20" s="191"/>
      <c r="D20" s="191"/>
      <c r="E20" s="191"/>
      <c r="F20" s="191"/>
      <c r="G20" s="191"/>
      <c r="H20" s="191"/>
      <c r="I20" s="191"/>
      <c r="J20" s="191"/>
    </row>
    <row r="21" spans="1:10" ht="21.75" customHeight="1">
      <c r="A21" s="191"/>
      <c r="C21" s="191"/>
      <c r="D21" s="191"/>
      <c r="E21" s="191"/>
      <c r="F21" s="191"/>
      <c r="G21" s="191"/>
      <c r="H21" s="191"/>
      <c r="I21" s="191"/>
      <c r="J21" s="191"/>
    </row>
    <row r="22" spans="1:10" ht="21.75" customHeight="1">
      <c r="A22" s="191"/>
      <c r="C22" s="191"/>
      <c r="D22" s="191"/>
      <c r="E22" s="191"/>
      <c r="F22" s="191"/>
      <c r="G22" s="191"/>
      <c r="H22" s="191"/>
      <c r="I22" s="191"/>
      <c r="J22" s="191"/>
    </row>
    <row r="23" spans="1:10" ht="21.75" customHeight="1">
      <c r="A23" s="191"/>
      <c r="C23" s="191"/>
      <c r="D23" s="191"/>
      <c r="E23" s="191"/>
      <c r="F23" s="191"/>
      <c r="G23" s="191"/>
      <c r="H23" s="191"/>
      <c r="I23" s="191"/>
      <c r="J23" s="191"/>
    </row>
    <row r="24" spans="1:10" ht="21.75" customHeight="1">
      <c r="A24" s="191"/>
      <c r="C24" s="191"/>
      <c r="D24" s="191"/>
      <c r="E24" s="191"/>
      <c r="F24" s="191"/>
      <c r="G24" s="191"/>
      <c r="H24" s="191"/>
      <c r="I24" s="191"/>
      <c r="J24" s="191"/>
    </row>
    <row r="25" spans="1:10" ht="21.75" customHeight="1">
      <c r="A25" s="191"/>
      <c r="C25" s="191"/>
      <c r="D25" s="191"/>
      <c r="E25" s="191"/>
      <c r="F25" s="191"/>
      <c r="G25" s="191"/>
      <c r="H25" s="191"/>
      <c r="I25" s="191"/>
      <c r="J25" s="191"/>
    </row>
    <row r="26" spans="1:10" ht="21.75" customHeight="1">
      <c r="A26" s="191"/>
      <c r="C26" s="191"/>
      <c r="D26" s="191"/>
      <c r="E26" s="191"/>
      <c r="F26" s="191"/>
      <c r="G26" s="191"/>
      <c r="H26" s="191"/>
      <c r="I26" s="191"/>
      <c r="J26" s="191"/>
    </row>
    <row r="27" spans="1:10" ht="21.75" customHeight="1">
      <c r="A27" s="191"/>
      <c r="C27" s="191"/>
      <c r="D27" s="191"/>
      <c r="E27" s="191"/>
      <c r="F27" s="191"/>
      <c r="G27" s="191"/>
      <c r="H27" s="191"/>
      <c r="I27" s="191"/>
      <c r="J27" s="191"/>
    </row>
    <row r="28" spans="1:10" ht="21.75" customHeight="1">
      <c r="A28" s="191"/>
      <c r="C28" s="191"/>
      <c r="D28" s="191"/>
      <c r="E28" s="191"/>
      <c r="F28" s="191"/>
      <c r="G28" s="191"/>
      <c r="H28" s="191"/>
      <c r="I28" s="191"/>
      <c r="J28" s="191"/>
    </row>
    <row r="29" spans="1:10" ht="21.75" customHeight="1">
      <c r="A29" s="191"/>
      <c r="C29" s="191"/>
      <c r="D29" s="191"/>
      <c r="E29" s="191"/>
      <c r="F29" s="191"/>
      <c r="G29" s="191"/>
      <c r="H29" s="191"/>
      <c r="I29" s="191"/>
      <c r="J29" s="191"/>
    </row>
    <row r="30" spans="1:10" ht="21.75" customHeight="1">
      <c r="A30" s="191"/>
      <c r="C30" s="191"/>
      <c r="D30" s="191"/>
      <c r="E30" s="191"/>
      <c r="F30" s="191"/>
      <c r="G30" s="191"/>
      <c r="H30" s="191"/>
      <c r="I30" s="191"/>
      <c r="J30" s="191"/>
    </row>
    <row r="31" spans="1:10" ht="21.75" customHeight="1">
      <c r="A31" s="191"/>
      <c r="C31" s="191"/>
      <c r="D31" s="191"/>
      <c r="E31" s="191"/>
      <c r="F31" s="191"/>
      <c r="G31" s="191"/>
      <c r="H31" s="191"/>
      <c r="I31" s="191"/>
      <c r="J31" s="191"/>
    </row>
    <row r="32" spans="1:10" ht="21.75" customHeight="1">
      <c r="A32" s="191"/>
      <c r="C32" s="191"/>
      <c r="D32" s="191"/>
      <c r="E32" s="191"/>
      <c r="F32" s="191"/>
      <c r="G32" s="191"/>
      <c r="H32" s="191"/>
      <c r="I32" s="191"/>
      <c r="J32" s="191"/>
    </row>
    <row r="33" spans="1:10" ht="21.75" customHeight="1">
      <c r="A33" s="191"/>
      <c r="C33" s="191"/>
      <c r="D33" s="191"/>
      <c r="E33" s="191"/>
      <c r="F33" s="191"/>
      <c r="G33" s="191"/>
      <c r="H33" s="191"/>
      <c r="I33" s="191"/>
      <c r="J33" s="191"/>
    </row>
    <row r="34" spans="1:10" ht="21.75" customHeight="1">
      <c r="A34" s="191"/>
      <c r="C34" s="191"/>
      <c r="D34" s="191"/>
      <c r="E34" s="191"/>
      <c r="F34" s="191"/>
      <c r="G34" s="191"/>
      <c r="H34" s="191"/>
      <c r="I34" s="191"/>
      <c r="J34" s="191"/>
    </row>
    <row r="35" spans="1:10" ht="21.75" customHeight="1">
      <c r="A35" s="191"/>
      <c r="C35" s="191"/>
      <c r="D35" s="191"/>
      <c r="E35" s="191"/>
      <c r="F35" s="191"/>
      <c r="G35" s="191"/>
      <c r="H35" s="191"/>
      <c r="I35" s="191"/>
      <c r="J35" s="191"/>
    </row>
    <row r="36" spans="1:10" ht="21.75" customHeight="1">
      <c r="A36" s="191"/>
      <c r="C36" s="191"/>
      <c r="D36" s="191"/>
      <c r="E36" s="191"/>
      <c r="F36" s="191"/>
      <c r="G36" s="191"/>
      <c r="H36" s="191"/>
      <c r="I36" s="191"/>
      <c r="J36" s="191"/>
    </row>
    <row r="37" spans="1:10" ht="21.75" customHeight="1">
      <c r="A37" s="191"/>
      <c r="C37" s="191"/>
      <c r="D37" s="191"/>
      <c r="E37" s="191"/>
      <c r="F37" s="191"/>
      <c r="G37" s="191"/>
      <c r="H37" s="191"/>
      <c r="I37" s="191"/>
      <c r="J37" s="191"/>
    </row>
    <row r="38" spans="1:10" ht="21.75" customHeight="1">
      <c r="A38" s="191"/>
      <c r="C38" s="191"/>
      <c r="D38" s="191"/>
      <c r="E38" s="191"/>
      <c r="F38" s="191"/>
      <c r="G38" s="191"/>
      <c r="H38" s="191"/>
      <c r="I38" s="191"/>
      <c r="J38" s="191"/>
    </row>
    <row r="39" spans="1:10" ht="21.75" customHeight="1">
      <c r="A39" s="191"/>
      <c r="C39" s="191"/>
      <c r="D39" s="191"/>
      <c r="E39" s="191"/>
      <c r="F39" s="191"/>
      <c r="G39" s="191"/>
      <c r="H39" s="191"/>
      <c r="I39" s="191"/>
      <c r="J39" s="191"/>
    </row>
    <row r="40" spans="1:10" ht="21.75" customHeight="1">
      <c r="A40" s="191"/>
      <c r="C40" s="191"/>
      <c r="D40" s="191"/>
      <c r="E40" s="191"/>
      <c r="F40" s="191"/>
      <c r="G40" s="191"/>
      <c r="H40" s="191"/>
      <c r="I40" s="191"/>
      <c r="J40" s="191"/>
    </row>
    <row r="41" spans="1:10" ht="21.75" customHeight="1">
      <c r="A41" s="191"/>
      <c r="C41" s="191"/>
      <c r="D41" s="191"/>
      <c r="E41" s="191"/>
      <c r="F41" s="191"/>
      <c r="G41" s="191"/>
      <c r="H41" s="191"/>
      <c r="I41" s="191"/>
      <c r="J41" s="191"/>
    </row>
    <row r="42" spans="1:10" ht="21.75" customHeight="1">
      <c r="A42" s="191"/>
      <c r="C42" s="191"/>
      <c r="D42" s="191"/>
      <c r="E42" s="191"/>
      <c r="F42" s="191"/>
      <c r="G42" s="191"/>
      <c r="H42" s="191"/>
      <c r="I42" s="191"/>
      <c r="J42" s="191"/>
    </row>
    <row r="43" spans="1:10" ht="21.75" customHeight="1">
      <c r="A43" s="191"/>
      <c r="C43" s="191"/>
      <c r="D43" s="191"/>
      <c r="E43" s="191"/>
      <c r="F43" s="191"/>
      <c r="G43" s="191"/>
      <c r="H43" s="191"/>
      <c r="I43" s="191"/>
      <c r="J43" s="191"/>
    </row>
    <row r="44" spans="1:10" ht="21.75" customHeight="1">
      <c r="A44" s="191"/>
      <c r="C44" s="191"/>
      <c r="D44" s="191"/>
      <c r="E44" s="191"/>
      <c r="F44" s="191"/>
      <c r="G44" s="191"/>
      <c r="H44" s="191"/>
      <c r="I44" s="191"/>
      <c r="J44" s="191"/>
    </row>
    <row r="45" spans="1:10" ht="21.75" customHeight="1">
      <c r="A45" s="191"/>
      <c r="C45" s="191"/>
      <c r="D45" s="191"/>
      <c r="E45" s="191"/>
      <c r="F45" s="191"/>
      <c r="G45" s="191"/>
      <c r="H45" s="191"/>
      <c r="I45" s="191"/>
      <c r="J45" s="191"/>
    </row>
    <row r="46" spans="1:10" ht="21.75" customHeight="1">
      <c r="A46" s="191"/>
      <c r="C46" s="191"/>
      <c r="D46" s="191"/>
      <c r="E46" s="191"/>
      <c r="F46" s="191"/>
      <c r="G46" s="191"/>
      <c r="H46" s="191"/>
      <c r="I46" s="191"/>
      <c r="J46" s="191"/>
    </row>
    <row r="47" spans="1:10" ht="21.75" customHeight="1">
      <c r="A47" s="191"/>
      <c r="C47" s="191"/>
      <c r="D47" s="191"/>
      <c r="E47" s="191"/>
      <c r="F47" s="191"/>
      <c r="G47" s="191"/>
      <c r="H47" s="191"/>
      <c r="I47" s="191"/>
      <c r="J47" s="191"/>
    </row>
    <row r="48" spans="1:10" ht="21.75" customHeight="1">
      <c r="A48" s="191"/>
      <c r="C48" s="191"/>
      <c r="D48" s="191"/>
      <c r="E48" s="191"/>
      <c r="F48" s="191"/>
      <c r="G48" s="191"/>
      <c r="H48" s="191"/>
      <c r="I48" s="191"/>
      <c r="J48" s="191"/>
    </row>
    <row r="49" spans="1:10" ht="21.75" customHeight="1">
      <c r="A49" s="191"/>
      <c r="C49" s="191"/>
      <c r="D49" s="191"/>
      <c r="E49" s="191"/>
      <c r="F49" s="191"/>
      <c r="G49" s="191"/>
      <c r="H49" s="191"/>
      <c r="I49" s="191"/>
      <c r="J49" s="191"/>
    </row>
    <row r="50" spans="1:10" ht="21.75" customHeight="1">
      <c r="A50" s="191"/>
      <c r="C50" s="191"/>
      <c r="D50" s="191"/>
      <c r="E50" s="191"/>
      <c r="F50" s="191"/>
      <c r="G50" s="191"/>
      <c r="H50" s="191"/>
      <c r="I50" s="191"/>
      <c r="J50" s="191"/>
    </row>
    <row r="51" spans="1:10" ht="21.75" customHeight="1">
      <c r="A51" s="191"/>
      <c r="C51" s="191"/>
      <c r="D51" s="191"/>
      <c r="E51" s="191"/>
      <c r="F51" s="191"/>
      <c r="G51" s="191"/>
      <c r="H51" s="191"/>
      <c r="I51" s="191"/>
      <c r="J51" s="191"/>
    </row>
    <row r="52" spans="1:10" ht="21.75" customHeight="1">
      <c r="A52" s="191"/>
      <c r="C52" s="191"/>
      <c r="D52" s="191"/>
      <c r="E52" s="191"/>
      <c r="F52" s="191"/>
      <c r="G52" s="191"/>
      <c r="H52" s="191"/>
      <c r="I52" s="191"/>
      <c r="J52" s="191"/>
    </row>
    <row r="53" spans="1:10" ht="21.75" customHeight="1">
      <c r="A53" s="191"/>
      <c r="C53" s="191"/>
      <c r="D53" s="191"/>
      <c r="E53" s="191"/>
      <c r="F53" s="191"/>
      <c r="G53" s="191"/>
      <c r="H53" s="191"/>
      <c r="I53" s="191"/>
      <c r="J53" s="191"/>
    </row>
    <row r="54" spans="1:10" ht="21.75" customHeight="1">
      <c r="A54" s="191"/>
      <c r="C54" s="191"/>
      <c r="D54" s="191"/>
      <c r="E54" s="191"/>
      <c r="F54" s="191"/>
      <c r="G54" s="191"/>
      <c r="H54" s="191"/>
      <c r="I54" s="191"/>
      <c r="J54" s="191"/>
    </row>
    <row r="55" spans="1:10" ht="21.75" customHeight="1">
      <c r="A55" s="191"/>
      <c r="C55" s="191"/>
      <c r="D55" s="191"/>
      <c r="E55" s="191"/>
      <c r="F55" s="191"/>
      <c r="G55" s="191"/>
      <c r="H55" s="191"/>
      <c r="I55" s="191"/>
      <c r="J55" s="191"/>
    </row>
    <row r="56" spans="1:10" ht="21.75" customHeight="1">
      <c r="A56" s="191"/>
      <c r="C56" s="191"/>
      <c r="D56" s="191"/>
      <c r="E56" s="191"/>
      <c r="F56" s="191"/>
      <c r="G56" s="191"/>
      <c r="H56" s="191"/>
      <c r="I56" s="191"/>
      <c r="J56" s="191"/>
    </row>
    <row r="57" spans="1:10" ht="21.75" customHeight="1">
      <c r="A57" s="191"/>
      <c r="C57" s="191"/>
      <c r="D57" s="191"/>
      <c r="E57" s="191"/>
      <c r="F57" s="191"/>
      <c r="G57" s="191"/>
      <c r="H57" s="191"/>
      <c r="I57" s="191"/>
      <c r="J57" s="191"/>
    </row>
    <row r="58" spans="1:10" ht="21.75" customHeight="1">
      <c r="A58" s="191"/>
      <c r="C58" s="191"/>
      <c r="D58" s="191"/>
      <c r="E58" s="191"/>
      <c r="F58" s="191"/>
      <c r="G58" s="191"/>
      <c r="H58" s="191"/>
      <c r="I58" s="191"/>
      <c r="J58" s="191"/>
    </row>
    <row r="59" spans="1:10" ht="21.75" customHeight="1">
      <c r="A59" s="191"/>
      <c r="C59" s="191"/>
      <c r="D59" s="191"/>
      <c r="E59" s="191"/>
      <c r="F59" s="191"/>
      <c r="G59" s="191"/>
      <c r="H59" s="191"/>
      <c r="I59" s="191"/>
      <c r="J59" s="191"/>
    </row>
    <row r="60" spans="1:10" ht="21.75" customHeight="1">
      <c r="A60" s="191"/>
      <c r="C60" s="191"/>
      <c r="D60" s="191"/>
      <c r="E60" s="191"/>
      <c r="F60" s="191"/>
      <c r="G60" s="191"/>
      <c r="H60" s="191"/>
      <c r="I60" s="191"/>
      <c r="J60" s="191"/>
    </row>
    <row r="61" spans="1:10" ht="21.75" customHeight="1">
      <c r="A61" s="191"/>
      <c r="C61" s="191"/>
      <c r="D61" s="191"/>
      <c r="E61" s="191"/>
      <c r="F61" s="191"/>
      <c r="G61" s="191"/>
      <c r="H61" s="191"/>
      <c r="I61" s="191"/>
      <c r="J61" s="191"/>
    </row>
    <row r="62" spans="1:10" ht="21.75" customHeight="1">
      <c r="A62" s="191"/>
      <c r="C62" s="191"/>
      <c r="D62" s="191"/>
      <c r="E62" s="191"/>
      <c r="F62" s="191"/>
      <c r="G62" s="191"/>
      <c r="H62" s="191"/>
      <c r="I62" s="191"/>
      <c r="J62" s="191"/>
    </row>
    <row r="63" spans="1:10" ht="21.75" customHeight="1">
      <c r="A63" s="191"/>
      <c r="C63" s="191"/>
      <c r="D63" s="191"/>
      <c r="E63" s="191"/>
      <c r="F63" s="191"/>
      <c r="G63" s="191"/>
      <c r="H63" s="191"/>
      <c r="I63" s="191"/>
      <c r="J63" s="191"/>
    </row>
    <row r="64" spans="1:10" ht="21.75" customHeight="1">
      <c r="A64" s="191"/>
      <c r="C64" s="191"/>
      <c r="D64" s="191"/>
      <c r="E64" s="191"/>
      <c r="F64" s="191"/>
      <c r="G64" s="191"/>
      <c r="H64" s="191"/>
      <c r="I64" s="191"/>
      <c r="J64" s="191"/>
    </row>
    <row r="65" spans="1:10" ht="21.75" customHeight="1">
      <c r="A65" s="191"/>
      <c r="C65" s="191"/>
      <c r="D65" s="191"/>
      <c r="E65" s="191"/>
      <c r="F65" s="191"/>
      <c r="G65" s="191"/>
      <c r="H65" s="191"/>
      <c r="I65" s="191"/>
      <c r="J65" s="191"/>
    </row>
    <row r="66" spans="1:10" ht="21.75" customHeight="1">
      <c r="A66" s="191"/>
      <c r="C66" s="191"/>
      <c r="D66" s="191"/>
      <c r="E66" s="191"/>
      <c r="F66" s="191"/>
      <c r="G66" s="191"/>
      <c r="H66" s="191"/>
      <c r="I66" s="191"/>
      <c r="J66" s="191"/>
    </row>
    <row r="67" spans="1:10" ht="21.75" customHeight="1">
      <c r="A67" s="191"/>
      <c r="C67" s="191"/>
      <c r="D67" s="191"/>
      <c r="E67" s="191"/>
      <c r="F67" s="191"/>
      <c r="G67" s="191"/>
      <c r="H67" s="191"/>
      <c r="I67" s="191"/>
      <c r="J67" s="191"/>
    </row>
    <row r="68" spans="1:10" ht="21.75" customHeight="1">
      <c r="A68" s="191"/>
      <c r="C68" s="191"/>
      <c r="D68" s="191"/>
      <c r="E68" s="191"/>
      <c r="F68" s="191"/>
      <c r="G68" s="191"/>
      <c r="H68" s="191"/>
      <c r="I68" s="191"/>
      <c r="J68" s="191"/>
    </row>
    <row r="69" spans="1:10" ht="21.75" customHeight="1">
      <c r="A69" s="191"/>
      <c r="C69" s="191"/>
      <c r="D69" s="191"/>
      <c r="E69" s="191"/>
      <c r="F69" s="191"/>
      <c r="G69" s="191"/>
      <c r="H69" s="191"/>
      <c r="I69" s="191"/>
      <c r="J69" s="191"/>
    </row>
    <row r="70" spans="1:10" ht="21.75" customHeight="1">
      <c r="A70" s="191"/>
      <c r="C70" s="191"/>
      <c r="D70" s="191"/>
      <c r="E70" s="191"/>
      <c r="F70" s="191"/>
      <c r="G70" s="191"/>
      <c r="H70" s="191"/>
      <c r="I70" s="191"/>
      <c r="J70" s="191"/>
    </row>
    <row r="71" spans="1:10" ht="21.75" customHeight="1">
      <c r="A71" s="191"/>
      <c r="C71" s="191"/>
      <c r="D71" s="191"/>
      <c r="E71" s="191"/>
      <c r="F71" s="191"/>
      <c r="G71" s="191"/>
      <c r="H71" s="191"/>
      <c r="I71" s="191"/>
      <c r="J71" s="191"/>
    </row>
    <row r="72" spans="1:10" ht="21.75" customHeight="1">
      <c r="A72" s="191"/>
      <c r="C72" s="191"/>
      <c r="D72" s="191"/>
      <c r="E72" s="191"/>
      <c r="F72" s="191"/>
      <c r="G72" s="191"/>
      <c r="H72" s="191"/>
      <c r="I72" s="191"/>
      <c r="J72" s="191"/>
    </row>
    <row r="73" spans="1:10" ht="21.75" customHeight="1">
      <c r="A73" s="191"/>
      <c r="C73" s="191"/>
      <c r="D73" s="191"/>
      <c r="E73" s="191"/>
      <c r="F73" s="191"/>
      <c r="G73" s="191"/>
      <c r="H73" s="191"/>
      <c r="I73" s="191"/>
      <c r="J73" s="191"/>
    </row>
    <row r="74" spans="1:10" ht="21.75" customHeight="1">
      <c r="A74" s="191"/>
      <c r="C74" s="191"/>
      <c r="D74" s="191"/>
      <c r="E74" s="191"/>
      <c r="F74" s="191"/>
      <c r="G74" s="191"/>
      <c r="H74" s="191"/>
      <c r="I74" s="191"/>
      <c r="J74" s="191"/>
    </row>
    <row r="75" spans="1:10" ht="21.75" customHeight="1">
      <c r="A75" s="191"/>
      <c r="C75" s="191"/>
      <c r="D75" s="191"/>
      <c r="E75" s="191"/>
      <c r="F75" s="191"/>
      <c r="G75" s="191"/>
      <c r="H75" s="191"/>
      <c r="I75" s="191"/>
      <c r="J75" s="191"/>
    </row>
    <row r="76" spans="1:10" ht="21.75" customHeight="1">
      <c r="A76" s="191"/>
      <c r="C76" s="191"/>
      <c r="D76" s="191"/>
      <c r="E76" s="191"/>
      <c r="F76" s="191"/>
      <c r="G76" s="191"/>
      <c r="H76" s="191"/>
      <c r="I76" s="191"/>
      <c r="J76" s="191"/>
    </row>
    <row r="77" spans="1:10" ht="21.75" customHeight="1">
      <c r="A77" s="191"/>
      <c r="C77" s="191"/>
      <c r="D77" s="191"/>
      <c r="E77" s="191"/>
      <c r="F77" s="191"/>
      <c r="G77" s="191"/>
      <c r="H77" s="191"/>
      <c r="I77" s="191"/>
      <c r="J77" s="191"/>
    </row>
  </sheetData>
  <mergeCells count="7">
    <mergeCell ref="A1:K1"/>
    <mergeCell ref="A2:K2"/>
    <mergeCell ref="A3:K3"/>
    <mergeCell ref="B4:D5"/>
    <mergeCell ref="E4:E5"/>
    <mergeCell ref="F4:K4"/>
    <mergeCell ref="A4:A5"/>
  </mergeCells>
  <pageMargins left="0.27559055118110237" right="0.11811023622047245" top="0.51181102362204722" bottom="0.62992125984251968" header="0.27559055118110237" footer="0.1574803149606299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1"/>
  <sheetViews>
    <sheetView zoomScale="115" zoomScaleNormal="115" workbookViewId="0">
      <selection activeCell="A4" sqref="A4:G4"/>
    </sheetView>
  </sheetViews>
  <sheetFormatPr defaultRowHeight="21.75" customHeight="1"/>
  <cols>
    <col min="1" max="1" width="4.875" style="52" customWidth="1"/>
    <col min="2" max="2" width="5.75" style="51" bestFit="1" customWidth="1"/>
    <col min="3" max="3" width="8.75" style="61" bestFit="1" customWidth="1"/>
    <col min="4" max="4" width="12.125" style="61" bestFit="1" customWidth="1"/>
    <col min="5" max="5" width="34.125" style="61" customWidth="1"/>
    <col min="6" max="6" width="10.5" style="61" customWidth="1"/>
    <col min="7" max="7" width="11.875" style="89" customWidth="1"/>
    <col min="8" max="16384" width="9" style="51"/>
  </cols>
  <sheetData>
    <row r="1" spans="1:8" ht="21.75" customHeight="1">
      <c r="A1" s="290" t="s">
        <v>37</v>
      </c>
      <c r="B1" s="290"/>
      <c r="C1" s="290"/>
      <c r="D1" s="290"/>
      <c r="E1" s="290"/>
      <c r="F1" s="290"/>
      <c r="G1" s="290"/>
      <c r="H1" s="86"/>
    </row>
    <row r="2" spans="1:8" ht="21.75" customHeight="1">
      <c r="A2" s="291" t="s">
        <v>48</v>
      </c>
      <c r="B2" s="291"/>
      <c r="C2" s="291"/>
      <c r="D2" s="291"/>
      <c r="E2" s="291"/>
      <c r="F2" s="291"/>
      <c r="G2" s="291"/>
    </row>
    <row r="3" spans="1:8" ht="21.75" customHeight="1">
      <c r="A3" s="288" t="s">
        <v>66</v>
      </c>
      <c r="B3" s="288"/>
      <c r="C3" s="288"/>
      <c r="D3" s="288"/>
      <c r="E3" s="288"/>
      <c r="F3" s="288"/>
      <c r="G3" s="288"/>
      <c r="H3" s="53"/>
    </row>
    <row r="4" spans="1:8" ht="21.75" customHeight="1">
      <c r="A4" s="292" t="s">
        <v>72</v>
      </c>
      <c r="B4" s="292"/>
      <c r="C4" s="292"/>
      <c r="D4" s="292"/>
      <c r="E4" s="292"/>
      <c r="F4" s="292"/>
      <c r="G4" s="292"/>
    </row>
    <row r="5" spans="1:8" ht="21.75" customHeight="1">
      <c r="A5" s="100" t="s">
        <v>3</v>
      </c>
      <c r="B5" s="293" t="s">
        <v>18</v>
      </c>
      <c r="C5" s="293"/>
      <c r="D5" s="293"/>
      <c r="E5" s="60" t="s">
        <v>10</v>
      </c>
      <c r="F5" s="60" t="s">
        <v>38</v>
      </c>
      <c r="G5" s="88" t="s">
        <v>2</v>
      </c>
    </row>
    <row r="6" spans="1:8" ht="20.25" customHeight="1">
      <c r="A6" s="294" t="s">
        <v>40</v>
      </c>
      <c r="B6" s="295"/>
      <c r="C6" s="295"/>
      <c r="D6" s="295"/>
      <c r="E6" s="295"/>
      <c r="F6" s="295"/>
      <c r="G6" s="296"/>
    </row>
    <row r="7" spans="1:8" ht="20.25" customHeight="1">
      <c r="A7" s="72">
        <v>1</v>
      </c>
      <c r="B7" s="126"/>
      <c r="C7" s="127"/>
      <c r="D7" s="154"/>
      <c r="E7" s="128"/>
      <c r="F7" s="129">
        <v>150</v>
      </c>
      <c r="G7" s="186">
        <f>B7</f>
        <v>0</v>
      </c>
    </row>
    <row r="8" spans="1:8" ht="20.25" customHeight="1">
      <c r="A8" s="72">
        <v>2</v>
      </c>
      <c r="B8" s="126"/>
      <c r="C8" s="131"/>
      <c r="D8" s="154"/>
      <c r="E8" s="128"/>
      <c r="F8" s="129">
        <v>150</v>
      </c>
      <c r="G8" s="186">
        <f t="shared" ref="G8:G16" si="0">B8</f>
        <v>0</v>
      </c>
    </row>
    <row r="9" spans="1:8" ht="20.25" customHeight="1">
      <c r="A9" s="34">
        <v>3</v>
      </c>
      <c r="B9" s="132"/>
      <c r="C9" s="133"/>
      <c r="D9" s="142"/>
      <c r="E9" s="134"/>
      <c r="F9" s="129">
        <v>150</v>
      </c>
      <c r="G9" s="186">
        <f t="shared" si="0"/>
        <v>0</v>
      </c>
    </row>
    <row r="10" spans="1:8" ht="20.25" customHeight="1">
      <c r="A10" s="34">
        <v>4</v>
      </c>
      <c r="B10" s="132"/>
      <c r="C10" s="133"/>
      <c r="D10" s="142"/>
      <c r="E10" s="134"/>
      <c r="F10" s="129">
        <v>150</v>
      </c>
      <c r="G10" s="186">
        <f t="shared" si="0"/>
        <v>0</v>
      </c>
    </row>
    <row r="11" spans="1:8" ht="20.25" customHeight="1">
      <c r="A11" s="34">
        <v>5</v>
      </c>
      <c r="B11" s="132"/>
      <c r="C11" s="133"/>
      <c r="D11" s="142"/>
      <c r="E11" s="134"/>
      <c r="F11" s="129">
        <v>150</v>
      </c>
      <c r="G11" s="186">
        <f t="shared" si="0"/>
        <v>0</v>
      </c>
    </row>
    <row r="12" spans="1:8" ht="20.25" customHeight="1">
      <c r="A12" s="34">
        <v>6</v>
      </c>
      <c r="B12" s="132"/>
      <c r="C12" s="133"/>
      <c r="D12" s="142"/>
      <c r="E12" s="134"/>
      <c r="F12" s="129">
        <v>150</v>
      </c>
      <c r="G12" s="186">
        <f t="shared" si="0"/>
        <v>0</v>
      </c>
    </row>
    <row r="13" spans="1:8" ht="20.25" customHeight="1">
      <c r="A13" s="34">
        <v>7</v>
      </c>
      <c r="B13" s="132"/>
      <c r="C13" s="133"/>
      <c r="D13" s="141"/>
      <c r="E13" s="134"/>
      <c r="F13" s="129">
        <v>150</v>
      </c>
      <c r="G13" s="186">
        <f t="shared" si="0"/>
        <v>0</v>
      </c>
    </row>
    <row r="14" spans="1:8" ht="20.25" customHeight="1">
      <c r="A14" s="34">
        <v>8</v>
      </c>
      <c r="B14" s="132"/>
      <c r="C14" s="135"/>
      <c r="D14" s="155"/>
      <c r="E14" s="134"/>
      <c r="F14" s="129">
        <v>150</v>
      </c>
      <c r="G14" s="186">
        <f t="shared" si="0"/>
        <v>0</v>
      </c>
    </row>
    <row r="15" spans="1:8" ht="20.25" customHeight="1">
      <c r="A15" s="34">
        <v>9</v>
      </c>
      <c r="B15" s="132"/>
      <c r="C15" s="133"/>
      <c r="D15" s="142"/>
      <c r="E15" s="134"/>
      <c r="F15" s="129">
        <v>150</v>
      </c>
      <c r="G15" s="186">
        <f t="shared" si="0"/>
        <v>0</v>
      </c>
    </row>
    <row r="16" spans="1:8" ht="20.25" customHeight="1">
      <c r="A16" s="34">
        <v>10</v>
      </c>
      <c r="B16" s="132"/>
      <c r="C16" s="133"/>
      <c r="D16" s="142"/>
      <c r="E16" s="134"/>
      <c r="F16" s="129">
        <v>150</v>
      </c>
      <c r="G16" s="186">
        <f t="shared" si="0"/>
        <v>0</v>
      </c>
    </row>
    <row r="17" spans="1:7" ht="20.25" customHeight="1">
      <c r="A17" s="294" t="s">
        <v>41</v>
      </c>
      <c r="B17" s="295"/>
      <c r="C17" s="295"/>
      <c r="D17" s="295"/>
      <c r="E17" s="295"/>
      <c r="F17" s="295"/>
      <c r="G17" s="296"/>
    </row>
    <row r="18" spans="1:7" ht="20.25" customHeight="1">
      <c r="A18" s="34">
        <v>11</v>
      </c>
      <c r="B18" s="136"/>
      <c r="C18" s="137"/>
      <c r="D18" s="138"/>
      <c r="E18" s="139"/>
      <c r="F18" s="129">
        <v>150</v>
      </c>
      <c r="G18" s="186">
        <f>B18</f>
        <v>0</v>
      </c>
    </row>
    <row r="19" spans="1:7" ht="20.25" customHeight="1">
      <c r="A19" s="34">
        <v>12</v>
      </c>
      <c r="B19" s="136"/>
      <c r="C19" s="137"/>
      <c r="D19" s="138"/>
      <c r="E19" s="139"/>
      <c r="F19" s="129">
        <v>150</v>
      </c>
      <c r="G19" s="186">
        <f t="shared" ref="G19:G27" si="1">B19</f>
        <v>0</v>
      </c>
    </row>
    <row r="20" spans="1:7" ht="20.25" customHeight="1">
      <c r="A20" s="34">
        <v>13</v>
      </c>
      <c r="B20" s="136"/>
      <c r="C20" s="141"/>
      <c r="D20" s="142"/>
      <c r="E20" s="136"/>
      <c r="F20" s="129">
        <v>150</v>
      </c>
      <c r="G20" s="186">
        <f t="shared" si="1"/>
        <v>0</v>
      </c>
    </row>
    <row r="21" spans="1:7" ht="20.25" customHeight="1">
      <c r="A21" s="34">
        <v>14</v>
      </c>
      <c r="B21" s="136"/>
      <c r="C21" s="143"/>
      <c r="D21" s="156"/>
      <c r="E21" s="136"/>
      <c r="F21" s="129">
        <v>150</v>
      </c>
      <c r="G21" s="186">
        <f t="shared" si="1"/>
        <v>0</v>
      </c>
    </row>
    <row r="22" spans="1:7" ht="20.25" customHeight="1">
      <c r="A22" s="34">
        <v>15</v>
      </c>
      <c r="B22" s="136"/>
      <c r="C22" s="143"/>
      <c r="D22" s="156"/>
      <c r="E22" s="136"/>
      <c r="F22" s="129">
        <v>150</v>
      </c>
      <c r="G22" s="186">
        <f t="shared" si="1"/>
        <v>0</v>
      </c>
    </row>
    <row r="23" spans="1:7" ht="20.25" customHeight="1">
      <c r="A23" s="34">
        <v>16</v>
      </c>
      <c r="B23" s="136"/>
      <c r="C23" s="143"/>
      <c r="D23" s="156"/>
      <c r="E23" s="136"/>
      <c r="F23" s="129">
        <v>150</v>
      </c>
      <c r="G23" s="186">
        <f t="shared" si="1"/>
        <v>0</v>
      </c>
    </row>
    <row r="24" spans="1:7" ht="20.25" customHeight="1">
      <c r="A24" s="34">
        <v>17</v>
      </c>
      <c r="B24" s="136"/>
      <c r="C24" s="144"/>
      <c r="D24" s="156"/>
      <c r="E24" s="145"/>
      <c r="F24" s="129">
        <v>150</v>
      </c>
      <c r="G24" s="186">
        <f t="shared" si="1"/>
        <v>0</v>
      </c>
    </row>
    <row r="25" spans="1:7" ht="20.25" customHeight="1">
      <c r="A25" s="146">
        <v>18</v>
      </c>
      <c r="B25" s="136"/>
      <c r="C25" s="144"/>
      <c r="D25" s="156"/>
      <c r="E25" s="145"/>
      <c r="F25" s="129">
        <v>150</v>
      </c>
      <c r="G25" s="186">
        <f t="shared" si="1"/>
        <v>0</v>
      </c>
    </row>
    <row r="26" spans="1:7" ht="20.25" customHeight="1">
      <c r="A26" s="146">
        <v>19</v>
      </c>
      <c r="B26" s="136"/>
      <c r="C26" s="144"/>
      <c r="D26" s="156"/>
      <c r="E26" s="145"/>
      <c r="F26" s="129">
        <v>150</v>
      </c>
      <c r="G26" s="186">
        <f t="shared" si="1"/>
        <v>0</v>
      </c>
    </row>
    <row r="27" spans="1:7" ht="20.25" customHeight="1">
      <c r="A27" s="34">
        <v>20</v>
      </c>
      <c r="B27" s="136"/>
      <c r="C27" s="144"/>
      <c r="D27" s="138"/>
      <c r="E27" s="145"/>
      <c r="F27" s="129">
        <v>150</v>
      </c>
      <c r="G27" s="186">
        <f t="shared" si="1"/>
        <v>0</v>
      </c>
    </row>
    <row r="28" spans="1:7" ht="20.25" customHeight="1">
      <c r="A28" s="294" t="s">
        <v>42</v>
      </c>
      <c r="B28" s="295"/>
      <c r="C28" s="295"/>
      <c r="D28" s="295"/>
      <c r="E28" s="295"/>
      <c r="F28" s="295"/>
      <c r="G28" s="296"/>
    </row>
    <row r="29" spans="1:7" ht="20.25" customHeight="1">
      <c r="A29" s="34">
        <v>21</v>
      </c>
      <c r="B29" s="132"/>
      <c r="C29" s="133"/>
      <c r="D29" s="141"/>
      <c r="E29" s="148"/>
      <c r="F29" s="129">
        <v>150</v>
      </c>
      <c r="G29" s="186">
        <f>B29</f>
        <v>0</v>
      </c>
    </row>
    <row r="30" spans="1:7" ht="20.25" customHeight="1">
      <c r="A30" s="34">
        <v>22</v>
      </c>
      <c r="B30" s="132"/>
      <c r="C30" s="133"/>
      <c r="D30" s="141"/>
      <c r="E30" s="148"/>
      <c r="F30" s="129">
        <v>150</v>
      </c>
      <c r="G30" s="186">
        <f t="shared" ref="G30:G38" si="2">B30</f>
        <v>0</v>
      </c>
    </row>
    <row r="31" spans="1:7" ht="20.25" customHeight="1">
      <c r="A31" s="34">
        <v>23</v>
      </c>
      <c r="B31" s="132"/>
      <c r="C31" s="133"/>
      <c r="D31" s="141"/>
      <c r="E31" s="148"/>
      <c r="F31" s="129">
        <v>150</v>
      </c>
      <c r="G31" s="186">
        <f t="shared" si="2"/>
        <v>0</v>
      </c>
    </row>
    <row r="32" spans="1:7" ht="20.25" customHeight="1">
      <c r="A32" s="34">
        <v>24</v>
      </c>
      <c r="B32" s="132"/>
      <c r="C32" s="133"/>
      <c r="D32" s="141"/>
      <c r="E32" s="148"/>
      <c r="F32" s="129">
        <v>150</v>
      </c>
      <c r="G32" s="186">
        <f t="shared" si="2"/>
        <v>0</v>
      </c>
    </row>
    <row r="33" spans="1:7" ht="20.25" customHeight="1">
      <c r="A33" s="34">
        <v>25</v>
      </c>
      <c r="B33" s="132"/>
      <c r="C33" s="133"/>
      <c r="D33" s="141"/>
      <c r="E33" s="148"/>
      <c r="F33" s="129">
        <v>150</v>
      </c>
      <c r="G33" s="186">
        <f t="shared" si="2"/>
        <v>0</v>
      </c>
    </row>
    <row r="34" spans="1:7" ht="20.25" customHeight="1">
      <c r="A34" s="34">
        <v>26</v>
      </c>
      <c r="B34" s="132"/>
      <c r="C34" s="133"/>
      <c r="D34" s="141"/>
      <c r="E34" s="148"/>
      <c r="F34" s="129">
        <v>150</v>
      </c>
      <c r="G34" s="186">
        <f t="shared" si="2"/>
        <v>0</v>
      </c>
    </row>
    <row r="35" spans="1:7" ht="20.25" customHeight="1">
      <c r="A35" s="34">
        <v>27</v>
      </c>
      <c r="B35" s="132"/>
      <c r="C35" s="133"/>
      <c r="D35" s="141"/>
      <c r="E35" s="148"/>
      <c r="F35" s="129">
        <v>150</v>
      </c>
      <c r="G35" s="186">
        <f t="shared" si="2"/>
        <v>0</v>
      </c>
    </row>
    <row r="36" spans="1:7" ht="20.25" customHeight="1">
      <c r="A36" s="34">
        <v>28</v>
      </c>
      <c r="B36" s="132"/>
      <c r="C36" s="133"/>
      <c r="D36" s="141"/>
      <c r="E36" s="148"/>
      <c r="F36" s="129">
        <v>150</v>
      </c>
      <c r="G36" s="186">
        <f t="shared" si="2"/>
        <v>0</v>
      </c>
    </row>
    <row r="37" spans="1:7" ht="20.25" customHeight="1">
      <c r="A37" s="34">
        <v>29</v>
      </c>
      <c r="B37" s="132"/>
      <c r="C37" s="133"/>
      <c r="D37" s="141"/>
      <c r="E37" s="148"/>
      <c r="F37" s="129">
        <v>150</v>
      </c>
      <c r="G37" s="186">
        <f t="shared" si="2"/>
        <v>0</v>
      </c>
    </row>
    <row r="38" spans="1:7" ht="20.25" customHeight="1">
      <c r="A38" s="34">
        <v>30</v>
      </c>
      <c r="B38" s="132"/>
      <c r="C38" s="133"/>
      <c r="D38" s="141"/>
      <c r="E38" s="148"/>
      <c r="F38" s="129">
        <v>150</v>
      </c>
      <c r="G38" s="186">
        <f t="shared" si="2"/>
        <v>0</v>
      </c>
    </row>
    <row r="39" spans="1:7" ht="21" customHeight="1">
      <c r="A39" s="294" t="s">
        <v>43</v>
      </c>
      <c r="B39" s="295"/>
      <c r="C39" s="295"/>
      <c r="D39" s="295"/>
      <c r="E39" s="295"/>
      <c r="F39" s="295"/>
      <c r="G39" s="296"/>
    </row>
    <row r="40" spans="1:7" ht="21" customHeight="1">
      <c r="A40" s="34">
        <v>31</v>
      </c>
      <c r="B40" s="150"/>
      <c r="C40" s="144"/>
      <c r="D40" s="138"/>
      <c r="E40" s="145"/>
      <c r="F40" s="129">
        <v>150</v>
      </c>
      <c r="G40" s="186">
        <f>B40</f>
        <v>0</v>
      </c>
    </row>
    <row r="41" spans="1:7" ht="21" customHeight="1">
      <c r="A41" s="34">
        <v>32</v>
      </c>
      <c r="B41" s="150"/>
      <c r="C41" s="144"/>
      <c r="D41" s="138"/>
      <c r="E41" s="145"/>
      <c r="F41" s="129">
        <v>150</v>
      </c>
      <c r="G41" s="186">
        <f t="shared" ref="G41:G49" si="3">B41</f>
        <v>0</v>
      </c>
    </row>
    <row r="42" spans="1:7" ht="21" customHeight="1">
      <c r="A42" s="34">
        <v>33</v>
      </c>
      <c r="B42" s="150"/>
      <c r="C42" s="144"/>
      <c r="D42" s="138"/>
      <c r="E42" s="145"/>
      <c r="F42" s="129">
        <v>150</v>
      </c>
      <c r="G42" s="186">
        <f t="shared" si="3"/>
        <v>0</v>
      </c>
    </row>
    <row r="43" spans="1:7" ht="21" customHeight="1">
      <c r="A43" s="34">
        <v>34</v>
      </c>
      <c r="B43" s="150"/>
      <c r="C43" s="144"/>
      <c r="D43" s="138"/>
      <c r="E43" s="145"/>
      <c r="F43" s="129">
        <v>150</v>
      </c>
      <c r="G43" s="186">
        <f t="shared" si="3"/>
        <v>0</v>
      </c>
    </row>
    <row r="44" spans="1:7" ht="21" customHeight="1">
      <c r="A44" s="34">
        <v>35</v>
      </c>
      <c r="B44" s="150"/>
      <c r="C44" s="157"/>
      <c r="D44" s="138"/>
      <c r="E44" s="145"/>
      <c r="F44" s="129">
        <v>150</v>
      </c>
      <c r="G44" s="186">
        <f t="shared" si="3"/>
        <v>0</v>
      </c>
    </row>
    <row r="45" spans="1:7" ht="21" customHeight="1">
      <c r="A45" s="34">
        <v>36</v>
      </c>
      <c r="B45" s="150"/>
      <c r="C45" s="144"/>
      <c r="D45" s="156"/>
      <c r="E45" s="145"/>
      <c r="F45" s="129">
        <v>150</v>
      </c>
      <c r="G45" s="186">
        <f t="shared" si="3"/>
        <v>0</v>
      </c>
    </row>
    <row r="46" spans="1:7" ht="21" customHeight="1">
      <c r="A46" s="34">
        <v>37</v>
      </c>
      <c r="B46" s="150"/>
      <c r="C46" s="144"/>
      <c r="D46" s="156"/>
      <c r="E46" s="145"/>
      <c r="F46" s="129">
        <v>150</v>
      </c>
      <c r="G46" s="186">
        <f t="shared" si="3"/>
        <v>0</v>
      </c>
    </row>
    <row r="47" spans="1:7" ht="21" customHeight="1">
      <c r="A47" s="34">
        <v>38</v>
      </c>
      <c r="B47" s="150"/>
      <c r="C47" s="144"/>
      <c r="D47" s="156"/>
      <c r="E47" s="145"/>
      <c r="F47" s="129">
        <v>150</v>
      </c>
      <c r="G47" s="186">
        <f t="shared" si="3"/>
        <v>0</v>
      </c>
    </row>
    <row r="48" spans="1:7" ht="21" customHeight="1">
      <c r="A48" s="34">
        <v>39</v>
      </c>
      <c r="B48" s="150"/>
      <c r="C48" s="144"/>
      <c r="D48" s="156"/>
      <c r="E48" s="145"/>
      <c r="F48" s="129">
        <v>150</v>
      </c>
      <c r="G48" s="186">
        <f t="shared" si="3"/>
        <v>0</v>
      </c>
    </row>
    <row r="49" spans="1:7" ht="21" customHeight="1">
      <c r="A49" s="34">
        <v>40</v>
      </c>
      <c r="B49" s="150"/>
      <c r="C49" s="144"/>
      <c r="D49" s="138"/>
      <c r="E49" s="145"/>
      <c r="F49" s="129">
        <v>150</v>
      </c>
      <c r="G49" s="186">
        <f t="shared" si="3"/>
        <v>0</v>
      </c>
    </row>
    <row r="50" spans="1:7" ht="21" customHeight="1">
      <c r="A50" s="294" t="s">
        <v>44</v>
      </c>
      <c r="B50" s="295"/>
      <c r="C50" s="295"/>
      <c r="D50" s="295"/>
      <c r="E50" s="295"/>
      <c r="F50" s="295"/>
      <c r="G50" s="296"/>
    </row>
    <row r="51" spans="1:7" ht="21" customHeight="1">
      <c r="A51" s="34">
        <v>41</v>
      </c>
      <c r="B51" s="150"/>
      <c r="C51" s="144"/>
      <c r="D51" s="138"/>
      <c r="E51" s="145"/>
      <c r="F51" s="129">
        <v>150</v>
      </c>
      <c r="G51" s="186">
        <f>B51</f>
        <v>0</v>
      </c>
    </row>
    <row r="52" spans="1:7" ht="21" customHeight="1">
      <c r="A52" s="34">
        <v>42</v>
      </c>
      <c r="B52" s="150"/>
      <c r="C52" s="144"/>
      <c r="D52" s="138"/>
      <c r="E52" s="145"/>
      <c r="F52" s="129">
        <v>150</v>
      </c>
      <c r="G52" s="186">
        <f t="shared" ref="G52:G60" si="4">B52</f>
        <v>0</v>
      </c>
    </row>
    <row r="53" spans="1:7" ht="21" customHeight="1">
      <c r="A53" s="34">
        <v>43</v>
      </c>
      <c r="B53" s="150"/>
      <c r="C53" s="144"/>
      <c r="D53" s="138"/>
      <c r="E53" s="145"/>
      <c r="F53" s="129">
        <v>150</v>
      </c>
      <c r="G53" s="186">
        <f t="shared" si="4"/>
        <v>0</v>
      </c>
    </row>
    <row r="54" spans="1:7" ht="21" customHeight="1">
      <c r="A54" s="34">
        <v>44</v>
      </c>
      <c r="B54" s="151"/>
      <c r="C54" s="144"/>
      <c r="D54" s="156"/>
      <c r="E54" s="145"/>
      <c r="F54" s="129">
        <v>150</v>
      </c>
      <c r="G54" s="186">
        <f t="shared" si="4"/>
        <v>0</v>
      </c>
    </row>
    <row r="55" spans="1:7" ht="21" customHeight="1">
      <c r="A55" s="34">
        <v>45</v>
      </c>
      <c r="B55" s="151"/>
      <c r="C55" s="144"/>
      <c r="D55" s="156"/>
      <c r="E55" s="145"/>
      <c r="F55" s="129">
        <v>150</v>
      </c>
      <c r="G55" s="186">
        <f t="shared" si="4"/>
        <v>0</v>
      </c>
    </row>
    <row r="56" spans="1:7" ht="21" customHeight="1">
      <c r="A56" s="34">
        <v>46</v>
      </c>
      <c r="B56" s="151"/>
      <c r="C56" s="137"/>
      <c r="D56" s="138"/>
      <c r="E56" s="145"/>
      <c r="F56" s="129">
        <v>150</v>
      </c>
      <c r="G56" s="186">
        <f t="shared" si="4"/>
        <v>0</v>
      </c>
    </row>
    <row r="57" spans="1:7" ht="21" customHeight="1">
      <c r="A57" s="34">
        <v>47</v>
      </c>
      <c r="B57" s="151"/>
      <c r="C57" s="137"/>
      <c r="D57" s="138"/>
      <c r="E57" s="139"/>
      <c r="F57" s="129">
        <v>150</v>
      </c>
      <c r="G57" s="186">
        <f t="shared" si="4"/>
        <v>0</v>
      </c>
    </row>
    <row r="58" spans="1:7" ht="21" customHeight="1">
      <c r="A58" s="34">
        <v>48</v>
      </c>
      <c r="B58" s="151"/>
      <c r="C58" s="137"/>
      <c r="D58" s="138"/>
      <c r="E58" s="139"/>
      <c r="F58" s="129">
        <v>150</v>
      </c>
      <c r="G58" s="186">
        <f t="shared" si="4"/>
        <v>0</v>
      </c>
    </row>
    <row r="59" spans="1:7" ht="21" customHeight="1">
      <c r="A59" s="34">
        <v>49</v>
      </c>
      <c r="B59" s="150"/>
      <c r="C59" s="137"/>
      <c r="D59" s="138"/>
      <c r="E59" s="139"/>
      <c r="F59" s="129">
        <v>150</v>
      </c>
      <c r="G59" s="186">
        <f t="shared" si="4"/>
        <v>0</v>
      </c>
    </row>
    <row r="60" spans="1:7" ht="21" customHeight="1">
      <c r="A60" s="34">
        <v>150</v>
      </c>
      <c r="B60" s="150"/>
      <c r="C60" s="137"/>
      <c r="D60" s="138"/>
      <c r="E60" s="139"/>
      <c r="F60" s="129">
        <v>150</v>
      </c>
      <c r="G60" s="186">
        <f t="shared" si="4"/>
        <v>0</v>
      </c>
    </row>
    <row r="61" spans="1:7" ht="33.75" customHeight="1">
      <c r="A61" s="51"/>
      <c r="C61" s="51"/>
      <c r="D61" s="51"/>
      <c r="E61" s="51"/>
      <c r="F61" s="51"/>
      <c r="G61" s="51"/>
    </row>
    <row r="62" spans="1:7" ht="21" customHeight="1">
      <c r="A62" s="90" t="s">
        <v>65</v>
      </c>
      <c r="C62" s="51"/>
      <c r="D62" s="51"/>
      <c r="F62" s="91"/>
      <c r="G62" s="51"/>
    </row>
    <row r="63" spans="1:7" ht="21" customHeight="1">
      <c r="A63" s="85" t="s">
        <v>3</v>
      </c>
      <c r="B63" s="289" t="s">
        <v>18</v>
      </c>
      <c r="C63" s="289"/>
      <c r="D63" s="289"/>
      <c r="E63" s="92" t="s">
        <v>10</v>
      </c>
      <c r="F63" s="92" t="s">
        <v>38</v>
      </c>
      <c r="G63" s="85" t="s">
        <v>2</v>
      </c>
    </row>
    <row r="64" spans="1:7" ht="21" customHeight="1">
      <c r="A64" s="35">
        <v>1</v>
      </c>
      <c r="B64" s="93" t="s">
        <v>52</v>
      </c>
      <c r="C64" s="66" t="s">
        <v>58</v>
      </c>
      <c r="D64" s="94" t="s">
        <v>59</v>
      </c>
      <c r="E64" s="55" t="s">
        <v>60</v>
      </c>
      <c r="F64" s="87">
        <v>150</v>
      </c>
      <c r="G64" s="36" t="str">
        <f>B64</f>
        <v>พ.ต.ต.</v>
      </c>
    </row>
    <row r="65" spans="1:7" ht="21" customHeight="1">
      <c r="A65" s="35">
        <v>2</v>
      </c>
      <c r="B65" s="93" t="s">
        <v>61</v>
      </c>
      <c r="C65" s="66" t="s">
        <v>62</v>
      </c>
      <c r="D65" s="94" t="s">
        <v>63</v>
      </c>
      <c r="E65" s="55" t="s">
        <v>64</v>
      </c>
      <c r="F65" s="87">
        <v>150</v>
      </c>
      <c r="G65" s="36" t="str">
        <f>B65</f>
        <v>ด.ต.</v>
      </c>
    </row>
    <row r="66" spans="1:7" ht="21" customHeight="1"/>
    <row r="67" spans="1:7" ht="21" customHeight="1"/>
    <row r="68" spans="1:7" ht="21" customHeight="1">
      <c r="E68" s="116" t="s">
        <v>34</v>
      </c>
    </row>
    <row r="69" spans="1:7" ht="34.5" customHeight="1">
      <c r="E69" s="117" t="s">
        <v>45</v>
      </c>
    </row>
    <row r="70" spans="1:7" ht="21" customHeight="1">
      <c r="E70" s="52" t="s">
        <v>47</v>
      </c>
    </row>
    <row r="71" spans="1:7" ht="21" customHeight="1">
      <c r="E71" s="52" t="s">
        <v>46</v>
      </c>
    </row>
  </sheetData>
  <mergeCells count="11">
    <mergeCell ref="A3:G3"/>
    <mergeCell ref="B63:D63"/>
    <mergeCell ref="A1:G1"/>
    <mergeCell ref="A2:G2"/>
    <mergeCell ref="A4:G4"/>
    <mergeCell ref="B5:D5"/>
    <mergeCell ref="A6:G6"/>
    <mergeCell ref="A17:G17"/>
    <mergeCell ref="A28:G28"/>
    <mergeCell ref="A39:G39"/>
    <mergeCell ref="A50:G50"/>
  </mergeCells>
  <pageMargins left="0.62992125984251968" right="0.11811023622047245" top="0.39370078740157483" bottom="0.22" header="0.27559055118110237" footer="0.1574803149606299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2"/>
  <sheetViews>
    <sheetView zoomScale="85" zoomScaleNormal="85" workbookViewId="0">
      <selection sqref="A1:L52"/>
    </sheetView>
  </sheetViews>
  <sheetFormatPr defaultRowHeight="15.75" customHeight="1"/>
  <cols>
    <col min="1" max="1" width="5" style="163" bestFit="1" customWidth="1"/>
    <col min="2" max="2" width="28.25" style="163" customWidth="1"/>
    <col min="3" max="12" width="5.75" style="252" customWidth="1"/>
    <col min="13" max="13" width="5.25" style="163" customWidth="1"/>
    <col min="14" max="14" width="34" style="163" bestFit="1" customWidth="1"/>
    <col min="15" max="16384" width="9" style="163"/>
  </cols>
  <sheetData>
    <row r="1" spans="1:12" ht="15" customHeight="1">
      <c r="A1" s="297" t="s">
        <v>246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</row>
    <row r="2" spans="1:12" ht="12" customHeight="1">
      <c r="A2" s="249" t="s">
        <v>3</v>
      </c>
      <c r="B2" s="250" t="s">
        <v>18</v>
      </c>
      <c r="C2" s="248">
        <v>43675</v>
      </c>
      <c r="D2" s="248">
        <v>43676</v>
      </c>
      <c r="E2" s="248">
        <v>43677</v>
      </c>
      <c r="F2" s="248">
        <v>43678</v>
      </c>
      <c r="G2" s="248">
        <v>43679</v>
      </c>
      <c r="H2" s="248">
        <v>43682</v>
      </c>
      <c r="I2" s="248">
        <v>43683</v>
      </c>
      <c r="J2" s="248">
        <v>43684</v>
      </c>
      <c r="K2" s="248">
        <v>43685</v>
      </c>
      <c r="L2" s="248">
        <v>43686</v>
      </c>
    </row>
    <row r="3" spans="1:12" ht="15.75" customHeight="1">
      <c r="A3" s="158">
        <v>1</v>
      </c>
      <c r="B3" s="251" t="s">
        <v>248</v>
      </c>
      <c r="C3" s="159"/>
      <c r="D3" s="160"/>
      <c r="E3" s="159"/>
      <c r="F3" s="159"/>
      <c r="G3" s="159"/>
      <c r="H3" s="159"/>
      <c r="I3" s="161"/>
      <c r="J3" s="162"/>
      <c r="K3" s="162"/>
      <c r="L3" s="162"/>
    </row>
    <row r="4" spans="1:12" ht="15.75" customHeight="1">
      <c r="A4" s="158">
        <v>2</v>
      </c>
      <c r="B4" s="251" t="s">
        <v>364</v>
      </c>
      <c r="C4" s="159"/>
      <c r="D4" s="160"/>
      <c r="E4" s="159"/>
      <c r="F4" s="159"/>
      <c r="G4" s="159"/>
      <c r="H4" s="159"/>
      <c r="I4" s="164"/>
      <c r="J4" s="162"/>
      <c r="K4" s="162"/>
      <c r="L4" s="162"/>
    </row>
    <row r="5" spans="1:12" ht="15.75" customHeight="1">
      <c r="A5" s="165">
        <v>3</v>
      </c>
      <c r="B5" s="251" t="s">
        <v>249</v>
      </c>
      <c r="C5" s="166"/>
      <c r="D5" s="167"/>
      <c r="E5" s="166"/>
      <c r="F5" s="166"/>
      <c r="G5" s="166"/>
      <c r="H5" s="166"/>
      <c r="I5" s="168"/>
      <c r="J5" s="162"/>
      <c r="K5" s="162"/>
      <c r="L5" s="162"/>
    </row>
    <row r="6" spans="1:12" ht="15.75" customHeight="1">
      <c r="A6" s="165">
        <v>4</v>
      </c>
      <c r="B6" s="251" t="s">
        <v>250</v>
      </c>
      <c r="C6" s="169"/>
      <c r="D6" s="170"/>
      <c r="E6" s="170"/>
      <c r="F6" s="170"/>
      <c r="G6" s="170"/>
      <c r="H6" s="171"/>
      <c r="I6" s="172"/>
      <c r="J6" s="162"/>
      <c r="K6" s="162"/>
      <c r="L6" s="162"/>
    </row>
    <row r="7" spans="1:12" ht="15.75" customHeight="1">
      <c r="A7" s="165">
        <v>5</v>
      </c>
      <c r="B7" s="251" t="s">
        <v>251</v>
      </c>
      <c r="C7" s="162"/>
      <c r="D7" s="173"/>
      <c r="E7" s="173"/>
      <c r="F7" s="173"/>
      <c r="G7" s="173"/>
      <c r="H7" s="162"/>
      <c r="I7" s="174"/>
      <c r="J7" s="162"/>
      <c r="K7" s="162"/>
      <c r="L7" s="162"/>
    </row>
    <row r="8" spans="1:12" ht="15.75" customHeight="1">
      <c r="A8" s="165">
        <v>6</v>
      </c>
      <c r="B8" s="251" t="s">
        <v>252</v>
      </c>
      <c r="C8" s="162"/>
      <c r="D8" s="173"/>
      <c r="E8" s="173"/>
      <c r="F8" s="173"/>
      <c r="G8" s="173"/>
      <c r="H8" s="162"/>
      <c r="I8" s="174"/>
      <c r="J8" s="162"/>
      <c r="K8" s="162"/>
      <c r="L8" s="162"/>
    </row>
    <row r="9" spans="1:12" ht="15.75" customHeight="1">
      <c r="A9" s="165">
        <v>7</v>
      </c>
      <c r="B9" s="251" t="s">
        <v>253</v>
      </c>
      <c r="C9" s="162"/>
      <c r="D9" s="173"/>
      <c r="E9" s="173"/>
      <c r="F9" s="173"/>
      <c r="G9" s="173"/>
      <c r="H9" s="162"/>
      <c r="I9" s="174"/>
      <c r="J9" s="162"/>
      <c r="K9" s="162"/>
      <c r="L9" s="162"/>
    </row>
    <row r="10" spans="1:12" ht="15.75" customHeight="1">
      <c r="A10" s="165">
        <v>8</v>
      </c>
      <c r="B10" s="251" t="s">
        <v>365</v>
      </c>
      <c r="C10" s="162"/>
      <c r="D10" s="173"/>
      <c r="E10" s="173"/>
      <c r="F10" s="173"/>
      <c r="G10" s="173"/>
      <c r="H10" s="162"/>
      <c r="I10" s="174"/>
      <c r="J10" s="162"/>
      <c r="K10" s="162"/>
      <c r="L10" s="162"/>
    </row>
    <row r="11" spans="1:12" ht="15.75" customHeight="1">
      <c r="A11" s="165">
        <v>9</v>
      </c>
      <c r="B11" s="251" t="s">
        <v>254</v>
      </c>
      <c r="C11" s="175"/>
      <c r="D11" s="176"/>
      <c r="E11" s="176"/>
      <c r="F11" s="176"/>
      <c r="G11" s="176"/>
      <c r="H11" s="162"/>
      <c r="I11" s="174"/>
      <c r="J11" s="162"/>
      <c r="K11" s="162"/>
      <c r="L11" s="162"/>
    </row>
    <row r="12" spans="1:12" ht="15.75" customHeight="1">
      <c r="A12" s="165">
        <v>10</v>
      </c>
      <c r="B12" s="251" t="s">
        <v>255</v>
      </c>
      <c r="C12" s="162"/>
      <c r="D12" s="173"/>
      <c r="E12" s="173"/>
      <c r="F12" s="173"/>
      <c r="G12" s="173"/>
      <c r="H12" s="162"/>
      <c r="I12" s="174"/>
      <c r="J12" s="162"/>
      <c r="K12" s="162"/>
      <c r="L12" s="162"/>
    </row>
    <row r="13" spans="1:12" ht="15.75" customHeight="1">
      <c r="A13" s="165">
        <v>11</v>
      </c>
      <c r="B13" s="251" t="s">
        <v>366</v>
      </c>
      <c r="C13" s="162"/>
      <c r="D13" s="173"/>
      <c r="E13" s="173"/>
      <c r="F13" s="173"/>
      <c r="G13" s="173"/>
      <c r="H13" s="162"/>
      <c r="I13" s="174"/>
      <c r="J13" s="162"/>
      <c r="K13" s="162"/>
      <c r="L13" s="162"/>
    </row>
    <row r="14" spans="1:12" ht="15.75" customHeight="1">
      <c r="A14" s="165">
        <v>12</v>
      </c>
      <c r="B14" s="251" t="s">
        <v>256</v>
      </c>
      <c r="C14" s="162"/>
      <c r="D14" s="173"/>
      <c r="E14" s="173"/>
      <c r="F14" s="173"/>
      <c r="G14" s="173"/>
      <c r="H14" s="162"/>
      <c r="I14" s="174"/>
      <c r="J14" s="162"/>
      <c r="K14" s="162"/>
      <c r="L14" s="162"/>
    </row>
    <row r="15" spans="1:12" ht="15.75" customHeight="1">
      <c r="A15" s="165">
        <v>13</v>
      </c>
      <c r="B15" s="251" t="s">
        <v>257</v>
      </c>
      <c r="C15" s="162"/>
      <c r="D15" s="177"/>
      <c r="E15" s="162"/>
      <c r="F15" s="162"/>
      <c r="G15" s="162"/>
      <c r="H15" s="178"/>
      <c r="I15" s="174"/>
      <c r="J15" s="162"/>
      <c r="K15" s="162"/>
      <c r="L15" s="162"/>
    </row>
    <row r="16" spans="1:12" ht="15.75" customHeight="1">
      <c r="A16" s="165">
        <v>14</v>
      </c>
      <c r="B16" s="251" t="s">
        <v>258</v>
      </c>
      <c r="C16" s="166"/>
      <c r="D16" s="179"/>
      <c r="E16" s="166"/>
      <c r="F16" s="166"/>
      <c r="G16" s="166"/>
      <c r="H16" s="178"/>
      <c r="I16" s="174"/>
      <c r="J16" s="162"/>
      <c r="K16" s="162"/>
      <c r="L16" s="162"/>
    </row>
    <row r="17" spans="1:12" ht="15.75" customHeight="1">
      <c r="A17" s="165">
        <v>15</v>
      </c>
      <c r="B17" s="251" t="s">
        <v>259</v>
      </c>
      <c r="C17" s="166"/>
      <c r="D17" s="179"/>
      <c r="E17" s="166"/>
      <c r="F17" s="166"/>
      <c r="G17" s="166"/>
      <c r="H17" s="178"/>
      <c r="I17" s="174"/>
      <c r="J17" s="162"/>
      <c r="K17" s="162"/>
      <c r="L17" s="162"/>
    </row>
    <row r="18" spans="1:12" ht="15.75" customHeight="1">
      <c r="A18" s="165">
        <v>16</v>
      </c>
      <c r="B18" s="251" t="s">
        <v>367</v>
      </c>
      <c r="C18" s="180"/>
      <c r="D18" s="181"/>
      <c r="E18" s="180"/>
      <c r="F18" s="180"/>
      <c r="G18" s="180"/>
      <c r="H18" s="178"/>
      <c r="I18" s="182"/>
      <c r="J18" s="162"/>
      <c r="K18" s="162"/>
      <c r="L18" s="162"/>
    </row>
    <row r="19" spans="1:12" ht="15.75" customHeight="1">
      <c r="A19" s="165">
        <v>17</v>
      </c>
      <c r="B19" s="251" t="s">
        <v>368</v>
      </c>
      <c r="C19" s="180"/>
      <c r="D19" s="183"/>
      <c r="E19" s="183"/>
      <c r="F19" s="183"/>
      <c r="G19" s="183"/>
      <c r="H19" s="180"/>
      <c r="I19" s="182"/>
      <c r="J19" s="162"/>
      <c r="K19" s="162"/>
      <c r="L19" s="162"/>
    </row>
    <row r="20" spans="1:12" ht="15.75" customHeight="1">
      <c r="A20" s="165">
        <v>18</v>
      </c>
      <c r="B20" s="251" t="s">
        <v>260</v>
      </c>
      <c r="C20" s="180"/>
      <c r="D20" s="183"/>
      <c r="E20" s="183"/>
      <c r="F20" s="183"/>
      <c r="G20" s="183"/>
      <c r="H20" s="180"/>
      <c r="I20" s="182"/>
      <c r="J20" s="162"/>
      <c r="K20" s="162"/>
      <c r="L20" s="162"/>
    </row>
    <row r="21" spans="1:12" ht="15.75" customHeight="1">
      <c r="A21" s="165">
        <v>19</v>
      </c>
      <c r="B21" s="251" t="s">
        <v>261</v>
      </c>
      <c r="C21" s="180"/>
      <c r="D21" s="183"/>
      <c r="E21" s="183"/>
      <c r="F21" s="183"/>
      <c r="G21" s="183"/>
      <c r="H21" s="180"/>
      <c r="I21" s="162"/>
      <c r="J21" s="162"/>
      <c r="K21" s="162"/>
      <c r="L21" s="162"/>
    </row>
    <row r="22" spans="1:12" ht="15.75" customHeight="1">
      <c r="A22" s="165">
        <v>20</v>
      </c>
      <c r="B22" s="251" t="s">
        <v>262</v>
      </c>
      <c r="C22" s="180"/>
      <c r="D22" s="183"/>
      <c r="E22" s="183"/>
      <c r="F22" s="183"/>
      <c r="G22" s="183"/>
      <c r="H22" s="180"/>
      <c r="I22" s="162"/>
      <c r="J22" s="162"/>
      <c r="K22" s="162"/>
      <c r="L22" s="162"/>
    </row>
    <row r="23" spans="1:12" ht="15.75" customHeight="1">
      <c r="A23" s="165">
        <v>21</v>
      </c>
      <c r="B23" s="251" t="s">
        <v>263</v>
      </c>
      <c r="C23" s="180"/>
      <c r="D23" s="183"/>
      <c r="E23" s="183"/>
      <c r="F23" s="183"/>
      <c r="G23" s="183"/>
      <c r="H23" s="180"/>
      <c r="I23" s="162"/>
      <c r="J23" s="162"/>
      <c r="K23" s="162"/>
      <c r="L23" s="162"/>
    </row>
    <row r="24" spans="1:12" ht="15.75" customHeight="1">
      <c r="A24" s="165">
        <v>22</v>
      </c>
      <c r="B24" s="251" t="s">
        <v>369</v>
      </c>
      <c r="C24" s="180"/>
      <c r="D24" s="183"/>
      <c r="E24" s="183"/>
      <c r="F24" s="183"/>
      <c r="G24" s="183"/>
      <c r="H24" s="180"/>
      <c r="I24" s="162"/>
      <c r="J24" s="162"/>
      <c r="K24" s="162"/>
      <c r="L24" s="162"/>
    </row>
    <row r="25" spans="1:12" ht="15.75" customHeight="1">
      <c r="A25" s="165">
        <v>23</v>
      </c>
      <c r="B25" s="251" t="s">
        <v>264</v>
      </c>
      <c r="C25" s="184"/>
      <c r="D25" s="185"/>
      <c r="E25" s="185"/>
      <c r="F25" s="185"/>
      <c r="G25" s="185"/>
      <c r="H25" s="184"/>
      <c r="I25" s="166"/>
      <c r="J25" s="162"/>
      <c r="K25" s="162"/>
      <c r="L25" s="162"/>
    </row>
    <row r="26" spans="1:12" ht="15.75" customHeight="1">
      <c r="A26" s="165">
        <v>24</v>
      </c>
      <c r="B26" s="251" t="s">
        <v>265</v>
      </c>
      <c r="C26" s="180"/>
      <c r="D26" s="183"/>
      <c r="E26" s="183"/>
      <c r="F26" s="183"/>
      <c r="G26" s="183"/>
      <c r="H26" s="180"/>
      <c r="I26" s="162"/>
      <c r="J26" s="162"/>
      <c r="K26" s="162"/>
      <c r="L26" s="162"/>
    </row>
    <row r="27" spans="1:12" ht="15.75" customHeight="1">
      <c r="A27" s="165">
        <v>25</v>
      </c>
      <c r="B27" s="251" t="s">
        <v>266</v>
      </c>
      <c r="C27" s="180"/>
      <c r="D27" s="183"/>
      <c r="E27" s="183"/>
      <c r="F27" s="183"/>
      <c r="G27" s="183"/>
      <c r="H27" s="180"/>
      <c r="I27" s="162"/>
      <c r="J27" s="162"/>
      <c r="K27" s="162"/>
      <c r="L27" s="162"/>
    </row>
    <row r="28" spans="1:12" ht="15.75" customHeight="1">
      <c r="A28" s="165">
        <v>26</v>
      </c>
      <c r="B28" s="251" t="s">
        <v>267</v>
      </c>
      <c r="C28" s="180"/>
      <c r="D28" s="183"/>
      <c r="E28" s="183"/>
      <c r="F28" s="183"/>
      <c r="G28" s="183"/>
      <c r="H28" s="180"/>
      <c r="I28" s="162"/>
      <c r="J28" s="162"/>
      <c r="K28" s="162"/>
      <c r="L28" s="162"/>
    </row>
    <row r="29" spans="1:12" ht="15.75" customHeight="1">
      <c r="A29" s="165">
        <v>27</v>
      </c>
      <c r="B29" s="251" t="s">
        <v>268</v>
      </c>
      <c r="C29" s="180"/>
      <c r="D29" s="183"/>
      <c r="E29" s="183"/>
      <c r="F29" s="183"/>
      <c r="G29" s="183"/>
      <c r="H29" s="180"/>
      <c r="I29" s="162"/>
      <c r="J29" s="162"/>
      <c r="K29" s="162"/>
      <c r="L29" s="162"/>
    </row>
    <row r="30" spans="1:12" ht="15.75" customHeight="1">
      <c r="A30" s="165">
        <v>28</v>
      </c>
      <c r="B30" s="251" t="s">
        <v>269</v>
      </c>
      <c r="C30" s="180"/>
      <c r="D30" s="183"/>
      <c r="E30" s="183"/>
      <c r="F30" s="183"/>
      <c r="G30" s="183"/>
      <c r="H30" s="180"/>
      <c r="I30" s="162"/>
      <c r="J30" s="162"/>
      <c r="K30" s="162"/>
      <c r="L30" s="162"/>
    </row>
    <row r="31" spans="1:12" ht="15.75" customHeight="1">
      <c r="A31" s="165">
        <v>29</v>
      </c>
      <c r="B31" s="251" t="s">
        <v>270</v>
      </c>
      <c r="C31" s="180"/>
      <c r="D31" s="183"/>
      <c r="E31" s="183"/>
      <c r="F31" s="183"/>
      <c r="G31" s="183"/>
      <c r="H31" s="180"/>
      <c r="I31" s="162"/>
      <c r="J31" s="162"/>
      <c r="K31" s="162"/>
      <c r="L31" s="162"/>
    </row>
    <row r="32" spans="1:12" ht="15.75" customHeight="1">
      <c r="A32" s="165">
        <v>30</v>
      </c>
      <c r="B32" s="251" t="s">
        <v>271</v>
      </c>
      <c r="C32" s="180"/>
      <c r="D32" s="183"/>
      <c r="E32" s="183"/>
      <c r="F32" s="183"/>
      <c r="G32" s="183"/>
      <c r="H32" s="180"/>
      <c r="I32" s="162"/>
      <c r="J32" s="162"/>
      <c r="K32" s="162"/>
      <c r="L32" s="162"/>
    </row>
    <row r="33" spans="1:12" ht="15.75" customHeight="1">
      <c r="A33" s="165">
        <v>31</v>
      </c>
      <c r="B33" s="251" t="s">
        <v>272</v>
      </c>
      <c r="C33" s="180"/>
      <c r="D33" s="183"/>
      <c r="E33" s="183"/>
      <c r="F33" s="183"/>
      <c r="G33" s="183"/>
      <c r="H33" s="180"/>
      <c r="I33" s="162"/>
      <c r="J33" s="162"/>
      <c r="K33" s="162"/>
      <c r="L33" s="162"/>
    </row>
    <row r="34" spans="1:12" ht="15.75" customHeight="1">
      <c r="A34" s="165">
        <v>32</v>
      </c>
      <c r="B34" s="251" t="s">
        <v>273</v>
      </c>
      <c r="C34" s="180"/>
      <c r="D34" s="183"/>
      <c r="E34" s="183"/>
      <c r="F34" s="183"/>
      <c r="G34" s="183"/>
      <c r="H34" s="180"/>
      <c r="I34" s="175"/>
      <c r="J34" s="162"/>
      <c r="K34" s="162"/>
      <c r="L34" s="162"/>
    </row>
    <row r="35" spans="1:12" ht="15.75" customHeight="1">
      <c r="A35" s="165">
        <v>33</v>
      </c>
      <c r="B35" s="251" t="s">
        <v>370</v>
      </c>
      <c r="C35" s="180"/>
      <c r="D35" s="183"/>
      <c r="E35" s="183"/>
      <c r="F35" s="183"/>
      <c r="G35" s="183"/>
      <c r="H35" s="180"/>
      <c r="I35" s="162"/>
      <c r="J35" s="162"/>
      <c r="K35" s="162"/>
      <c r="L35" s="162"/>
    </row>
    <row r="36" spans="1:12" ht="15.75" customHeight="1">
      <c r="A36" s="165">
        <v>34</v>
      </c>
      <c r="B36" s="251" t="s">
        <v>274</v>
      </c>
      <c r="C36" s="180"/>
      <c r="D36" s="183"/>
      <c r="E36" s="183"/>
      <c r="F36" s="183"/>
      <c r="G36" s="183"/>
      <c r="H36" s="180"/>
      <c r="I36" s="162"/>
      <c r="J36" s="162"/>
      <c r="K36" s="162"/>
      <c r="L36" s="162"/>
    </row>
    <row r="37" spans="1:12" ht="15.75" customHeight="1">
      <c r="A37" s="165">
        <v>35</v>
      </c>
      <c r="B37" s="251" t="s">
        <v>275</v>
      </c>
      <c r="C37" s="162"/>
      <c r="D37" s="173"/>
      <c r="E37" s="173"/>
      <c r="F37" s="173"/>
      <c r="G37" s="173"/>
      <c r="H37" s="180"/>
      <c r="I37" s="162"/>
      <c r="J37" s="162"/>
      <c r="K37" s="162"/>
      <c r="L37" s="162"/>
    </row>
    <row r="38" spans="1:12" ht="15.75" customHeight="1">
      <c r="A38" s="165">
        <v>36</v>
      </c>
      <c r="B38" s="251" t="s">
        <v>276</v>
      </c>
      <c r="C38" s="162"/>
      <c r="D38" s="173"/>
      <c r="E38" s="173"/>
      <c r="F38" s="173"/>
      <c r="G38" s="173"/>
      <c r="H38" s="180"/>
      <c r="I38" s="162"/>
      <c r="J38" s="162"/>
      <c r="K38" s="162"/>
      <c r="L38" s="162"/>
    </row>
    <row r="39" spans="1:12" ht="15.75" customHeight="1">
      <c r="A39" s="165">
        <v>37</v>
      </c>
      <c r="B39" s="251" t="s">
        <v>277</v>
      </c>
      <c r="C39" s="162"/>
      <c r="D39" s="173"/>
      <c r="E39" s="173"/>
      <c r="F39" s="173"/>
      <c r="G39" s="173"/>
      <c r="H39" s="180"/>
      <c r="I39" s="162"/>
      <c r="J39" s="162"/>
      <c r="K39" s="162"/>
      <c r="L39" s="162"/>
    </row>
    <row r="40" spans="1:12" ht="15.75" customHeight="1">
      <c r="A40" s="165">
        <v>38</v>
      </c>
      <c r="B40" s="251" t="s">
        <v>278</v>
      </c>
      <c r="C40" s="162"/>
      <c r="D40" s="173"/>
      <c r="E40" s="173"/>
      <c r="F40" s="173"/>
      <c r="G40" s="173"/>
      <c r="H40" s="180"/>
      <c r="I40" s="162"/>
      <c r="J40" s="162"/>
      <c r="K40" s="162"/>
      <c r="L40" s="162"/>
    </row>
    <row r="41" spans="1:12" ht="15.75" customHeight="1">
      <c r="A41" s="165">
        <v>39</v>
      </c>
      <c r="B41" s="251" t="s">
        <v>279</v>
      </c>
      <c r="C41" s="180"/>
      <c r="D41" s="183"/>
      <c r="E41" s="183"/>
      <c r="F41" s="183"/>
      <c r="G41" s="183"/>
      <c r="H41" s="180"/>
      <c r="I41" s="162"/>
      <c r="J41" s="162"/>
      <c r="K41" s="162"/>
      <c r="L41" s="162"/>
    </row>
    <row r="42" spans="1:12" ht="15.75" customHeight="1">
      <c r="A42" s="165">
        <v>40</v>
      </c>
      <c r="B42" s="251" t="s">
        <v>280</v>
      </c>
      <c r="C42" s="180"/>
      <c r="D42" s="183"/>
      <c r="E42" s="183"/>
      <c r="F42" s="183"/>
      <c r="G42" s="183"/>
      <c r="H42" s="180"/>
      <c r="I42" s="162"/>
      <c r="J42" s="162"/>
      <c r="K42" s="162"/>
      <c r="L42" s="162"/>
    </row>
    <row r="43" spans="1:12" ht="15.75" customHeight="1">
      <c r="A43" s="165">
        <v>41</v>
      </c>
      <c r="B43" s="251" t="s">
        <v>371</v>
      </c>
      <c r="C43" s="180"/>
      <c r="D43" s="183"/>
      <c r="E43" s="183"/>
      <c r="F43" s="183"/>
      <c r="G43" s="183"/>
      <c r="H43" s="180"/>
      <c r="I43" s="162"/>
      <c r="J43" s="162"/>
      <c r="K43" s="162"/>
      <c r="L43" s="162"/>
    </row>
    <row r="44" spans="1:12" ht="15.75" customHeight="1">
      <c r="A44" s="165">
        <v>42</v>
      </c>
      <c r="B44" s="251" t="s">
        <v>281</v>
      </c>
      <c r="C44" s="180"/>
      <c r="D44" s="183"/>
      <c r="E44" s="183"/>
      <c r="F44" s="183"/>
      <c r="G44" s="183"/>
      <c r="H44" s="180"/>
      <c r="I44" s="162"/>
      <c r="J44" s="162"/>
      <c r="K44" s="162"/>
      <c r="L44" s="162"/>
    </row>
    <row r="45" spans="1:12" ht="15.75" customHeight="1">
      <c r="A45" s="165">
        <v>43</v>
      </c>
      <c r="B45" s="251" t="s">
        <v>372</v>
      </c>
      <c r="C45" s="180"/>
      <c r="D45" s="183"/>
      <c r="E45" s="183"/>
      <c r="F45" s="183"/>
      <c r="G45" s="183"/>
      <c r="H45" s="180"/>
      <c r="I45" s="162"/>
      <c r="J45" s="162"/>
      <c r="K45" s="162"/>
      <c r="L45" s="162"/>
    </row>
    <row r="46" spans="1:12" ht="15.75" customHeight="1">
      <c r="A46" s="165">
        <v>44</v>
      </c>
      <c r="B46" s="251" t="s">
        <v>373</v>
      </c>
      <c r="C46" s="180"/>
      <c r="D46" s="183"/>
      <c r="E46" s="183"/>
      <c r="F46" s="183"/>
      <c r="G46" s="183"/>
      <c r="H46" s="180"/>
      <c r="I46" s="162"/>
      <c r="J46" s="162"/>
      <c r="K46" s="162"/>
      <c r="L46" s="162"/>
    </row>
    <row r="47" spans="1:12" ht="15.75" customHeight="1">
      <c r="A47" s="165">
        <v>45</v>
      </c>
      <c r="B47" s="251" t="s">
        <v>374</v>
      </c>
      <c r="C47" s="180"/>
      <c r="D47" s="183"/>
      <c r="E47" s="183"/>
      <c r="F47" s="183"/>
      <c r="G47" s="183"/>
      <c r="H47" s="180"/>
      <c r="I47" s="162"/>
      <c r="J47" s="162"/>
      <c r="K47" s="162"/>
      <c r="L47" s="162"/>
    </row>
    <row r="48" spans="1:12" ht="15.75" customHeight="1">
      <c r="A48" s="165">
        <v>46</v>
      </c>
      <c r="B48" s="251" t="s">
        <v>282</v>
      </c>
      <c r="C48" s="180"/>
      <c r="D48" s="183"/>
      <c r="E48" s="183"/>
      <c r="F48" s="183"/>
      <c r="G48" s="183"/>
      <c r="H48" s="180"/>
      <c r="I48" s="162"/>
      <c r="J48" s="162"/>
      <c r="K48" s="162"/>
      <c r="L48" s="162"/>
    </row>
    <row r="49" spans="1:12" ht="15.75" customHeight="1">
      <c r="A49" s="165">
        <v>47</v>
      </c>
      <c r="B49" s="251" t="s">
        <v>375</v>
      </c>
      <c r="C49" s="180"/>
      <c r="D49" s="183"/>
      <c r="E49" s="183"/>
      <c r="F49" s="183"/>
      <c r="G49" s="183"/>
      <c r="H49" s="180"/>
      <c r="I49" s="175"/>
      <c r="J49" s="162"/>
      <c r="K49" s="162"/>
      <c r="L49" s="162"/>
    </row>
    <row r="50" spans="1:12" ht="15.75" customHeight="1">
      <c r="A50" s="165">
        <v>48</v>
      </c>
      <c r="B50" s="251" t="s">
        <v>283</v>
      </c>
      <c r="C50" s="162"/>
      <c r="D50" s="173"/>
      <c r="E50" s="173"/>
      <c r="F50" s="173"/>
      <c r="G50" s="173"/>
      <c r="H50" s="162"/>
      <c r="I50" s="174"/>
      <c r="J50" s="162"/>
      <c r="K50" s="162"/>
      <c r="L50" s="162"/>
    </row>
    <row r="51" spans="1:12" ht="15.75" customHeight="1">
      <c r="A51" s="165">
        <v>49</v>
      </c>
      <c r="B51" s="251" t="s">
        <v>284</v>
      </c>
      <c r="C51" s="162"/>
      <c r="D51" s="173"/>
      <c r="E51" s="173"/>
      <c r="F51" s="173"/>
      <c r="G51" s="173"/>
      <c r="H51" s="162"/>
      <c r="I51" s="174"/>
      <c r="J51" s="162"/>
      <c r="K51" s="162"/>
      <c r="L51" s="162"/>
    </row>
    <row r="52" spans="1:12" ht="15.75" customHeight="1">
      <c r="A52" s="165">
        <v>50</v>
      </c>
      <c r="B52" s="251" t="s">
        <v>285</v>
      </c>
      <c r="C52" s="162"/>
      <c r="D52" s="173"/>
      <c r="E52" s="173"/>
      <c r="F52" s="173"/>
      <c r="G52" s="173"/>
      <c r="H52" s="162"/>
      <c r="I52" s="174"/>
      <c r="J52" s="162"/>
      <c r="K52" s="162"/>
      <c r="L52" s="162"/>
    </row>
  </sheetData>
  <mergeCells count="1">
    <mergeCell ref="A1:L1"/>
  </mergeCells>
  <pageMargins left="0.36" right="0.23622047244094491" top="0.21" bottom="0.17" header="0.17" footer="0.11811023622047245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7"/>
  <sheetViews>
    <sheetView zoomScale="110" zoomScaleNormal="110" workbookViewId="0">
      <selection activeCell="E10" sqref="E10"/>
    </sheetView>
  </sheetViews>
  <sheetFormatPr defaultRowHeight="20.25"/>
  <cols>
    <col min="1" max="1" width="6.5" style="49" customWidth="1"/>
    <col min="2" max="2" width="5.5" style="49" bestFit="1" customWidth="1"/>
    <col min="3" max="3" width="10.75" style="49" bestFit="1" customWidth="1"/>
    <col min="4" max="4" width="12.75" style="49" customWidth="1"/>
    <col min="5" max="5" width="34.5" style="49" customWidth="1"/>
    <col min="6" max="6" width="10.75" style="49" customWidth="1"/>
    <col min="7" max="7" width="10.75" style="51" customWidth="1"/>
    <col min="8" max="16384" width="9" style="49"/>
  </cols>
  <sheetData>
    <row r="1" spans="1:7">
      <c r="A1" s="302" t="s">
        <v>246</v>
      </c>
      <c r="B1" s="302"/>
      <c r="C1" s="302"/>
      <c r="D1" s="302"/>
      <c r="E1" s="302"/>
      <c r="F1" s="302"/>
      <c r="G1" s="302"/>
    </row>
    <row r="2" spans="1:7">
      <c r="A2" s="288" t="s">
        <v>72</v>
      </c>
      <c r="B2" s="288"/>
      <c r="C2" s="288"/>
      <c r="D2" s="288"/>
      <c r="E2" s="288"/>
      <c r="F2" s="288"/>
      <c r="G2" s="288"/>
    </row>
    <row r="3" spans="1:7">
      <c r="A3" s="303" t="s">
        <v>376</v>
      </c>
      <c r="B3" s="303"/>
      <c r="C3" s="303"/>
      <c r="D3" s="303"/>
      <c r="E3" s="303"/>
      <c r="F3" s="303"/>
      <c r="G3" s="303"/>
    </row>
    <row r="4" spans="1:7" ht="10.5" customHeight="1">
      <c r="A4" s="253"/>
      <c r="B4" s="253"/>
      <c r="C4" s="253"/>
      <c r="D4" s="253"/>
      <c r="E4" s="253"/>
      <c r="F4" s="253"/>
      <c r="G4" s="253"/>
    </row>
    <row r="5" spans="1:7" ht="19.5" customHeight="1">
      <c r="A5" s="289" t="s">
        <v>3</v>
      </c>
      <c r="B5" s="298" t="s">
        <v>18</v>
      </c>
      <c r="C5" s="299"/>
      <c r="D5" s="299"/>
      <c r="E5" s="289" t="s">
        <v>10</v>
      </c>
      <c r="F5" s="304" t="s">
        <v>2</v>
      </c>
      <c r="G5" s="305"/>
    </row>
    <row r="6" spans="1:7" ht="19.5" customHeight="1">
      <c r="A6" s="289"/>
      <c r="B6" s="300"/>
      <c r="C6" s="301"/>
      <c r="D6" s="301"/>
      <c r="E6" s="289"/>
      <c r="F6" s="50" t="s">
        <v>15</v>
      </c>
      <c r="G6" s="54" t="s">
        <v>16</v>
      </c>
    </row>
    <row r="7" spans="1:7" ht="21.75" customHeight="1">
      <c r="A7" s="270" t="s">
        <v>7</v>
      </c>
      <c r="B7" s="271"/>
      <c r="C7" s="271"/>
      <c r="D7" s="271"/>
      <c r="E7" s="271"/>
      <c r="F7" s="271"/>
      <c r="G7" s="272"/>
    </row>
    <row r="8" spans="1:7" ht="21.75" customHeight="1">
      <c r="A8" s="208">
        <v>1</v>
      </c>
      <c r="B8" s="209" t="s">
        <v>52</v>
      </c>
      <c r="C8" s="210" t="s">
        <v>176</v>
      </c>
      <c r="D8" s="154" t="s">
        <v>177</v>
      </c>
      <c r="E8" s="128" t="s">
        <v>192</v>
      </c>
      <c r="F8" s="254" t="str">
        <f>B8</f>
        <v>พ.ต.ต.</v>
      </c>
      <c r="G8" s="255" t="str">
        <f>B8</f>
        <v>พ.ต.ต.</v>
      </c>
    </row>
    <row r="9" spans="1:7" ht="21.75" customHeight="1">
      <c r="A9" s="208">
        <v>2</v>
      </c>
      <c r="B9" s="209" t="s">
        <v>79</v>
      </c>
      <c r="C9" s="210" t="s">
        <v>179</v>
      </c>
      <c r="D9" s="154" t="s">
        <v>341</v>
      </c>
      <c r="E9" s="128" t="s">
        <v>193</v>
      </c>
      <c r="F9" s="254" t="str">
        <f t="shared" ref="F9:F17" si="0">B9</f>
        <v>ร.ต.อ.</v>
      </c>
      <c r="G9" s="255" t="str">
        <f t="shared" ref="G9:G17" si="1">B9</f>
        <v>ร.ต.อ.</v>
      </c>
    </row>
    <row r="10" spans="1:7" ht="21.75" customHeight="1">
      <c r="A10" s="213">
        <v>3</v>
      </c>
      <c r="B10" s="214" t="s">
        <v>79</v>
      </c>
      <c r="C10" s="141" t="s">
        <v>180</v>
      </c>
      <c r="D10" s="142" t="s">
        <v>181</v>
      </c>
      <c r="E10" s="134" t="s">
        <v>194</v>
      </c>
      <c r="F10" s="254" t="str">
        <f t="shared" si="0"/>
        <v>ร.ต.อ.</v>
      </c>
      <c r="G10" s="255" t="str">
        <f t="shared" si="1"/>
        <v>ร.ต.อ.</v>
      </c>
    </row>
    <row r="11" spans="1:7" ht="21.75" customHeight="1">
      <c r="A11" s="213">
        <v>4</v>
      </c>
      <c r="B11" s="214" t="s">
        <v>79</v>
      </c>
      <c r="C11" s="141" t="s">
        <v>183</v>
      </c>
      <c r="D11" s="142" t="s">
        <v>184</v>
      </c>
      <c r="E11" s="134" t="s">
        <v>195</v>
      </c>
      <c r="F11" s="254" t="str">
        <f t="shared" si="0"/>
        <v>ร.ต.อ.</v>
      </c>
      <c r="G11" s="255" t="str">
        <f t="shared" si="1"/>
        <v>ร.ต.อ.</v>
      </c>
    </row>
    <row r="12" spans="1:7" ht="21.75" customHeight="1">
      <c r="A12" s="213">
        <v>5</v>
      </c>
      <c r="B12" s="214" t="s">
        <v>79</v>
      </c>
      <c r="C12" s="141" t="s">
        <v>186</v>
      </c>
      <c r="D12" s="142" t="s">
        <v>187</v>
      </c>
      <c r="E12" s="134" t="s">
        <v>196</v>
      </c>
      <c r="F12" s="254" t="str">
        <f t="shared" si="0"/>
        <v>ร.ต.อ.</v>
      </c>
      <c r="G12" s="255" t="str">
        <f t="shared" si="1"/>
        <v>ร.ต.อ.</v>
      </c>
    </row>
    <row r="13" spans="1:7" ht="21.75" customHeight="1">
      <c r="A13" s="213">
        <v>6</v>
      </c>
      <c r="B13" s="214" t="s">
        <v>79</v>
      </c>
      <c r="C13" s="141" t="s">
        <v>189</v>
      </c>
      <c r="D13" s="142" t="s">
        <v>190</v>
      </c>
      <c r="E13" s="134" t="s">
        <v>197</v>
      </c>
      <c r="F13" s="254" t="str">
        <f t="shared" si="0"/>
        <v>ร.ต.อ.</v>
      </c>
      <c r="G13" s="255" t="str">
        <f t="shared" si="1"/>
        <v>ร.ต.อ.</v>
      </c>
    </row>
    <row r="14" spans="1:7" ht="21.75" customHeight="1">
      <c r="A14" s="213">
        <v>7</v>
      </c>
      <c r="B14" s="141" t="s">
        <v>73</v>
      </c>
      <c r="C14" s="137" t="s">
        <v>198</v>
      </c>
      <c r="D14" s="141" t="s">
        <v>199</v>
      </c>
      <c r="E14" s="134" t="s">
        <v>200</v>
      </c>
      <c r="F14" s="254" t="str">
        <f t="shared" si="0"/>
        <v>พ.ต.ท.</v>
      </c>
      <c r="G14" s="255" t="str">
        <f t="shared" si="1"/>
        <v>พ.ต.ท.</v>
      </c>
    </row>
    <row r="15" spans="1:7" ht="21.75" customHeight="1">
      <c r="A15" s="213">
        <v>8</v>
      </c>
      <c r="B15" s="214" t="s">
        <v>201</v>
      </c>
      <c r="C15" s="217" t="s">
        <v>338</v>
      </c>
      <c r="D15" s="155" t="s">
        <v>339</v>
      </c>
      <c r="E15" s="134" t="s">
        <v>202</v>
      </c>
      <c r="F15" s="254" t="str">
        <f t="shared" si="0"/>
        <v>ร.ต.ท.</v>
      </c>
      <c r="G15" s="255" t="str">
        <f t="shared" si="1"/>
        <v>ร.ต.ท.</v>
      </c>
    </row>
    <row r="16" spans="1:7" ht="21.75" customHeight="1">
      <c r="A16" s="213">
        <v>9</v>
      </c>
      <c r="B16" s="214" t="s">
        <v>79</v>
      </c>
      <c r="C16" s="141" t="s">
        <v>204</v>
      </c>
      <c r="D16" s="142" t="s">
        <v>205</v>
      </c>
      <c r="E16" s="134" t="s">
        <v>206</v>
      </c>
      <c r="F16" s="254" t="str">
        <f t="shared" si="0"/>
        <v>ร.ต.อ.</v>
      </c>
      <c r="G16" s="255" t="str">
        <f t="shared" si="1"/>
        <v>ร.ต.อ.</v>
      </c>
    </row>
    <row r="17" spans="1:7" ht="21.75" customHeight="1">
      <c r="A17" s="213">
        <v>10</v>
      </c>
      <c r="B17" s="214" t="s">
        <v>79</v>
      </c>
      <c r="C17" s="141" t="s">
        <v>208</v>
      </c>
      <c r="D17" s="142" t="s">
        <v>209</v>
      </c>
      <c r="E17" s="134" t="s">
        <v>210</v>
      </c>
      <c r="F17" s="254" t="str">
        <f t="shared" si="0"/>
        <v>ร.ต.อ.</v>
      </c>
      <c r="G17" s="255" t="str">
        <f t="shared" si="1"/>
        <v>ร.ต.อ.</v>
      </c>
    </row>
    <row r="18" spans="1:7" ht="21.75" customHeight="1">
      <c r="A18" s="270" t="s">
        <v>68</v>
      </c>
      <c r="B18" s="271"/>
      <c r="C18" s="271"/>
      <c r="D18" s="271"/>
      <c r="E18" s="271"/>
      <c r="F18" s="271"/>
      <c r="G18" s="272"/>
    </row>
    <row r="19" spans="1:7" ht="21.75" customHeight="1">
      <c r="A19" s="213">
        <v>11</v>
      </c>
      <c r="B19" s="218" t="s">
        <v>201</v>
      </c>
      <c r="C19" s="218" t="s">
        <v>343</v>
      </c>
      <c r="D19" s="218" t="s">
        <v>212</v>
      </c>
      <c r="E19" s="219" t="s">
        <v>213</v>
      </c>
      <c r="F19" s="254" t="str">
        <f>B19</f>
        <v>ร.ต.ท.</v>
      </c>
      <c r="G19" s="255" t="str">
        <f>B19</f>
        <v>ร.ต.ท.</v>
      </c>
    </row>
    <row r="20" spans="1:7" ht="21.75" customHeight="1">
      <c r="A20" s="213">
        <v>12</v>
      </c>
      <c r="B20" s="218" t="s">
        <v>79</v>
      </c>
      <c r="C20" s="218" t="s">
        <v>215</v>
      </c>
      <c r="D20" s="218" t="s">
        <v>216</v>
      </c>
      <c r="E20" s="219" t="s">
        <v>217</v>
      </c>
      <c r="F20" s="254" t="str">
        <f t="shared" ref="F20:F28" si="2">B20</f>
        <v>ร.ต.อ.</v>
      </c>
      <c r="G20" s="255" t="str">
        <f t="shared" ref="G20:G28" si="3">B20</f>
        <v>ร.ต.อ.</v>
      </c>
    </row>
    <row r="21" spans="1:7" ht="21.75" customHeight="1">
      <c r="A21" s="213">
        <v>13</v>
      </c>
      <c r="B21" s="218" t="s">
        <v>79</v>
      </c>
      <c r="C21" s="218" t="s">
        <v>219</v>
      </c>
      <c r="D21" s="218" t="s">
        <v>220</v>
      </c>
      <c r="E21" s="219" t="s">
        <v>344</v>
      </c>
      <c r="F21" s="254" t="str">
        <f t="shared" si="2"/>
        <v>ร.ต.อ.</v>
      </c>
      <c r="G21" s="255" t="str">
        <f t="shared" si="3"/>
        <v>ร.ต.อ.</v>
      </c>
    </row>
    <row r="22" spans="1:7" ht="21.75" customHeight="1">
      <c r="A22" s="213">
        <v>14</v>
      </c>
      <c r="B22" s="218" t="s">
        <v>79</v>
      </c>
      <c r="C22" s="218" t="s">
        <v>222</v>
      </c>
      <c r="D22" s="218" t="s">
        <v>223</v>
      </c>
      <c r="E22" s="219" t="s">
        <v>224</v>
      </c>
      <c r="F22" s="254" t="str">
        <f t="shared" si="2"/>
        <v>ร.ต.อ.</v>
      </c>
      <c r="G22" s="255" t="str">
        <f t="shared" si="3"/>
        <v>ร.ต.อ.</v>
      </c>
    </row>
    <row r="23" spans="1:7" ht="21.75" customHeight="1">
      <c r="A23" s="213">
        <v>15</v>
      </c>
      <c r="B23" s="218" t="s">
        <v>79</v>
      </c>
      <c r="C23" s="218" t="s">
        <v>226</v>
      </c>
      <c r="D23" s="218" t="s">
        <v>227</v>
      </c>
      <c r="E23" s="219" t="s">
        <v>228</v>
      </c>
      <c r="F23" s="254" t="str">
        <f t="shared" si="2"/>
        <v>ร.ต.อ.</v>
      </c>
      <c r="G23" s="255" t="str">
        <f t="shared" si="3"/>
        <v>ร.ต.อ.</v>
      </c>
    </row>
    <row r="24" spans="1:7" ht="21.75" customHeight="1">
      <c r="A24" s="213">
        <v>16</v>
      </c>
      <c r="B24" s="218" t="s">
        <v>79</v>
      </c>
      <c r="C24" s="218" t="s">
        <v>345</v>
      </c>
      <c r="D24" s="218" t="s">
        <v>346</v>
      </c>
      <c r="E24" s="219" t="s">
        <v>347</v>
      </c>
      <c r="F24" s="254" t="str">
        <f t="shared" si="2"/>
        <v>ร.ต.อ.</v>
      </c>
      <c r="G24" s="255" t="str">
        <f t="shared" si="3"/>
        <v>ร.ต.อ.</v>
      </c>
    </row>
    <row r="25" spans="1:7" ht="21.75" customHeight="1">
      <c r="A25" s="213">
        <v>17</v>
      </c>
      <c r="B25" s="218" t="s">
        <v>73</v>
      </c>
      <c r="C25" s="218" t="s">
        <v>230</v>
      </c>
      <c r="D25" s="218" t="s">
        <v>231</v>
      </c>
      <c r="E25" s="219" t="s">
        <v>232</v>
      </c>
      <c r="F25" s="254" t="str">
        <f t="shared" si="2"/>
        <v>พ.ต.ท.</v>
      </c>
      <c r="G25" s="255" t="str">
        <f t="shared" si="3"/>
        <v>พ.ต.ท.</v>
      </c>
    </row>
    <row r="26" spans="1:7" ht="21.75" customHeight="1">
      <c r="A26" s="213">
        <v>18</v>
      </c>
      <c r="B26" s="218" t="s">
        <v>79</v>
      </c>
      <c r="C26" s="218" t="s">
        <v>234</v>
      </c>
      <c r="D26" s="218" t="s">
        <v>235</v>
      </c>
      <c r="E26" s="219" t="s">
        <v>236</v>
      </c>
      <c r="F26" s="254" t="str">
        <f t="shared" si="2"/>
        <v>ร.ต.อ.</v>
      </c>
      <c r="G26" s="255" t="str">
        <f t="shared" si="3"/>
        <v>ร.ต.อ.</v>
      </c>
    </row>
    <row r="27" spans="1:7" ht="21.75" customHeight="1">
      <c r="A27" s="213">
        <v>19</v>
      </c>
      <c r="B27" s="218" t="s">
        <v>79</v>
      </c>
      <c r="C27" s="218" t="s">
        <v>238</v>
      </c>
      <c r="D27" s="218" t="s">
        <v>239</v>
      </c>
      <c r="E27" s="219" t="s">
        <v>240</v>
      </c>
      <c r="F27" s="254" t="str">
        <f t="shared" si="2"/>
        <v>ร.ต.อ.</v>
      </c>
      <c r="G27" s="255" t="str">
        <f t="shared" si="3"/>
        <v>ร.ต.อ.</v>
      </c>
    </row>
    <row r="28" spans="1:7" ht="21.75" customHeight="1">
      <c r="A28" s="213">
        <v>20</v>
      </c>
      <c r="B28" s="218" t="s">
        <v>79</v>
      </c>
      <c r="C28" s="218" t="s">
        <v>241</v>
      </c>
      <c r="D28" s="218" t="s">
        <v>242</v>
      </c>
      <c r="E28" s="219" t="s">
        <v>243</v>
      </c>
      <c r="F28" s="254" t="str">
        <f t="shared" si="2"/>
        <v>ร.ต.อ.</v>
      </c>
      <c r="G28" s="255" t="str">
        <f t="shared" si="3"/>
        <v>ร.ต.อ.</v>
      </c>
    </row>
    <row r="29" spans="1:7" ht="21.75" customHeight="1">
      <c r="A29" s="270" t="s">
        <v>69</v>
      </c>
      <c r="B29" s="271"/>
      <c r="C29" s="271"/>
      <c r="D29" s="271"/>
      <c r="E29" s="271"/>
      <c r="F29" s="271"/>
      <c r="G29" s="272"/>
    </row>
    <row r="30" spans="1:7" ht="21.75" customHeight="1">
      <c r="A30" s="213">
        <v>21</v>
      </c>
      <c r="B30" s="222" t="s">
        <v>73</v>
      </c>
      <c r="C30" s="223" t="s">
        <v>74</v>
      </c>
      <c r="D30" s="224" t="s">
        <v>75</v>
      </c>
      <c r="E30" s="219" t="s">
        <v>163</v>
      </c>
      <c r="F30" s="254" t="str">
        <f>B30</f>
        <v>พ.ต.ท.</v>
      </c>
      <c r="G30" s="255" t="str">
        <f>B30</f>
        <v>พ.ต.ท.</v>
      </c>
    </row>
    <row r="31" spans="1:7" ht="21.75" customHeight="1">
      <c r="A31" s="213">
        <v>22</v>
      </c>
      <c r="B31" s="222" t="s">
        <v>52</v>
      </c>
      <c r="C31" s="223" t="s">
        <v>350</v>
      </c>
      <c r="D31" s="224" t="s">
        <v>77</v>
      </c>
      <c r="E31" s="219" t="s">
        <v>164</v>
      </c>
      <c r="F31" s="254" t="str">
        <f t="shared" ref="F31:F39" si="4">B31</f>
        <v>พ.ต.ต.</v>
      </c>
      <c r="G31" s="255" t="str">
        <f t="shared" ref="G31:G39" si="5">B31</f>
        <v>พ.ต.ต.</v>
      </c>
    </row>
    <row r="32" spans="1:7" ht="21.75" customHeight="1">
      <c r="A32" s="213">
        <v>23</v>
      </c>
      <c r="B32" s="222" t="s">
        <v>79</v>
      </c>
      <c r="C32" s="223" t="s">
        <v>80</v>
      </c>
      <c r="D32" s="224" t="s">
        <v>81</v>
      </c>
      <c r="E32" s="219" t="s">
        <v>165</v>
      </c>
      <c r="F32" s="254" t="str">
        <f t="shared" si="4"/>
        <v>ร.ต.อ.</v>
      </c>
      <c r="G32" s="255" t="str">
        <f t="shared" si="5"/>
        <v>ร.ต.อ.</v>
      </c>
    </row>
    <row r="33" spans="1:7" ht="21.75" customHeight="1">
      <c r="A33" s="213">
        <v>24</v>
      </c>
      <c r="B33" s="222" t="s">
        <v>79</v>
      </c>
      <c r="C33" s="223" t="s">
        <v>83</v>
      </c>
      <c r="D33" s="224" t="s">
        <v>84</v>
      </c>
      <c r="E33" s="219" t="s">
        <v>166</v>
      </c>
      <c r="F33" s="254" t="str">
        <f t="shared" si="4"/>
        <v>ร.ต.อ.</v>
      </c>
      <c r="G33" s="255" t="str">
        <f t="shared" si="5"/>
        <v>ร.ต.อ.</v>
      </c>
    </row>
    <row r="34" spans="1:7" ht="21.75" customHeight="1">
      <c r="A34" s="213">
        <v>25</v>
      </c>
      <c r="B34" s="222" t="s">
        <v>79</v>
      </c>
      <c r="C34" s="223" t="s">
        <v>86</v>
      </c>
      <c r="D34" s="224" t="s">
        <v>87</v>
      </c>
      <c r="E34" s="219" t="s">
        <v>167</v>
      </c>
      <c r="F34" s="254" t="str">
        <f t="shared" si="4"/>
        <v>ร.ต.อ.</v>
      </c>
      <c r="G34" s="255" t="str">
        <f t="shared" si="5"/>
        <v>ร.ต.อ.</v>
      </c>
    </row>
    <row r="35" spans="1:7" ht="21.75" customHeight="1">
      <c r="A35" s="213">
        <v>26</v>
      </c>
      <c r="B35" s="222" t="s">
        <v>79</v>
      </c>
      <c r="C35" s="223" t="s">
        <v>160</v>
      </c>
      <c r="D35" s="224" t="s">
        <v>161</v>
      </c>
      <c r="E35" s="219" t="s">
        <v>168</v>
      </c>
      <c r="F35" s="254" t="str">
        <f t="shared" si="4"/>
        <v>ร.ต.อ.</v>
      </c>
      <c r="G35" s="255" t="str">
        <f t="shared" si="5"/>
        <v>ร.ต.อ.</v>
      </c>
    </row>
    <row r="36" spans="1:7" ht="21.75" customHeight="1">
      <c r="A36" s="213">
        <v>27</v>
      </c>
      <c r="B36" s="222" t="s">
        <v>79</v>
      </c>
      <c r="C36" s="223" t="s">
        <v>89</v>
      </c>
      <c r="D36" s="224" t="s">
        <v>90</v>
      </c>
      <c r="E36" s="219" t="s">
        <v>91</v>
      </c>
      <c r="F36" s="254" t="str">
        <f t="shared" si="4"/>
        <v>ร.ต.อ.</v>
      </c>
      <c r="G36" s="255" t="str">
        <f t="shared" si="5"/>
        <v>ร.ต.อ.</v>
      </c>
    </row>
    <row r="37" spans="1:7" ht="21.75" customHeight="1">
      <c r="A37" s="213">
        <v>28</v>
      </c>
      <c r="B37" s="222" t="s">
        <v>79</v>
      </c>
      <c r="C37" s="223" t="s">
        <v>93</v>
      </c>
      <c r="D37" s="224" t="s">
        <v>94</v>
      </c>
      <c r="E37" s="219" t="s">
        <v>351</v>
      </c>
      <c r="F37" s="254" t="str">
        <f t="shared" si="4"/>
        <v>ร.ต.อ.</v>
      </c>
      <c r="G37" s="255" t="str">
        <f t="shared" si="5"/>
        <v>ร.ต.อ.</v>
      </c>
    </row>
    <row r="38" spans="1:7" ht="21.75" customHeight="1">
      <c r="A38" s="213">
        <v>29</v>
      </c>
      <c r="B38" s="222" t="s">
        <v>79</v>
      </c>
      <c r="C38" s="223" t="s">
        <v>96</v>
      </c>
      <c r="D38" s="224" t="s">
        <v>97</v>
      </c>
      <c r="E38" s="219" t="s">
        <v>98</v>
      </c>
      <c r="F38" s="254" t="str">
        <f t="shared" si="4"/>
        <v>ร.ต.อ.</v>
      </c>
      <c r="G38" s="255" t="str">
        <f t="shared" si="5"/>
        <v>ร.ต.อ.</v>
      </c>
    </row>
    <row r="39" spans="1:7" ht="21.75" customHeight="1">
      <c r="A39" s="213">
        <v>30</v>
      </c>
      <c r="B39" s="222" t="s">
        <v>79</v>
      </c>
      <c r="C39" s="223" t="s">
        <v>100</v>
      </c>
      <c r="D39" s="224" t="s">
        <v>101</v>
      </c>
      <c r="E39" s="219" t="s">
        <v>102</v>
      </c>
      <c r="F39" s="254" t="str">
        <f t="shared" si="4"/>
        <v>ร.ต.อ.</v>
      </c>
      <c r="G39" s="255" t="str">
        <f t="shared" si="5"/>
        <v>ร.ต.อ.</v>
      </c>
    </row>
    <row r="40" spans="1:7" ht="21.75" customHeight="1">
      <c r="A40" s="270" t="s">
        <v>70</v>
      </c>
      <c r="B40" s="271"/>
      <c r="C40" s="271"/>
      <c r="D40" s="271"/>
      <c r="E40" s="271"/>
      <c r="F40" s="271"/>
      <c r="G40" s="272"/>
    </row>
    <row r="41" spans="1:7" ht="21.75" customHeight="1">
      <c r="A41" s="213">
        <v>31</v>
      </c>
      <c r="B41" s="225" t="s">
        <v>73</v>
      </c>
      <c r="C41" s="137" t="s">
        <v>119</v>
      </c>
      <c r="D41" s="138" t="s">
        <v>120</v>
      </c>
      <c r="E41" s="145" t="s">
        <v>121</v>
      </c>
      <c r="F41" s="254" t="str">
        <f>B41</f>
        <v>พ.ต.ท.</v>
      </c>
      <c r="G41" s="255" t="str">
        <f>B41</f>
        <v>พ.ต.ท.</v>
      </c>
    </row>
    <row r="42" spans="1:7" ht="21.75" customHeight="1">
      <c r="A42" s="213">
        <v>32</v>
      </c>
      <c r="B42" s="225" t="s">
        <v>73</v>
      </c>
      <c r="C42" s="137" t="s">
        <v>131</v>
      </c>
      <c r="D42" s="138" t="s">
        <v>132</v>
      </c>
      <c r="E42" s="145" t="s">
        <v>133</v>
      </c>
      <c r="F42" s="254" t="str">
        <f t="shared" ref="F42:F50" si="6">B42</f>
        <v>พ.ต.ท.</v>
      </c>
      <c r="G42" s="255" t="str">
        <f t="shared" ref="G42:G50" si="7">B42</f>
        <v>พ.ต.ท.</v>
      </c>
    </row>
    <row r="43" spans="1:7" ht="21.75" customHeight="1">
      <c r="A43" s="213">
        <v>33</v>
      </c>
      <c r="B43" s="225" t="s">
        <v>79</v>
      </c>
      <c r="C43" s="137" t="s">
        <v>429</v>
      </c>
      <c r="D43" s="138" t="s">
        <v>354</v>
      </c>
      <c r="E43" s="145" t="s">
        <v>134</v>
      </c>
      <c r="F43" s="254" t="str">
        <f t="shared" si="6"/>
        <v>ร.ต.อ.</v>
      </c>
      <c r="G43" s="255" t="str">
        <f t="shared" si="7"/>
        <v>ร.ต.อ.</v>
      </c>
    </row>
    <row r="44" spans="1:7" ht="21.75" customHeight="1">
      <c r="A44" s="213">
        <v>34</v>
      </c>
      <c r="B44" s="225" t="s">
        <v>79</v>
      </c>
      <c r="C44" s="137" t="s">
        <v>135</v>
      </c>
      <c r="D44" s="138" t="s">
        <v>136</v>
      </c>
      <c r="E44" s="145" t="s">
        <v>150</v>
      </c>
      <c r="F44" s="254" t="str">
        <f t="shared" si="6"/>
        <v>ร.ต.อ.</v>
      </c>
      <c r="G44" s="255" t="str">
        <f t="shared" si="7"/>
        <v>ร.ต.อ.</v>
      </c>
    </row>
    <row r="45" spans="1:7" ht="21.75" customHeight="1">
      <c r="A45" s="213">
        <v>35</v>
      </c>
      <c r="B45" s="225" t="s">
        <v>79</v>
      </c>
      <c r="C45" s="241" t="s">
        <v>137</v>
      </c>
      <c r="D45" s="138" t="s">
        <v>138</v>
      </c>
      <c r="E45" s="145" t="s">
        <v>152</v>
      </c>
      <c r="F45" s="254" t="str">
        <f t="shared" si="6"/>
        <v>ร.ต.อ.</v>
      </c>
      <c r="G45" s="255" t="str">
        <f t="shared" si="7"/>
        <v>ร.ต.อ.</v>
      </c>
    </row>
    <row r="46" spans="1:7" ht="21.75" customHeight="1">
      <c r="A46" s="213">
        <v>36</v>
      </c>
      <c r="B46" s="225" t="s">
        <v>79</v>
      </c>
      <c r="C46" s="137" t="s">
        <v>139</v>
      </c>
      <c r="D46" s="156" t="s">
        <v>140</v>
      </c>
      <c r="E46" s="145" t="s">
        <v>151</v>
      </c>
      <c r="F46" s="254" t="str">
        <f t="shared" si="6"/>
        <v>ร.ต.อ.</v>
      </c>
      <c r="G46" s="255" t="str">
        <f t="shared" si="7"/>
        <v>ร.ต.อ.</v>
      </c>
    </row>
    <row r="47" spans="1:7" ht="21.75" customHeight="1">
      <c r="A47" s="213">
        <v>37</v>
      </c>
      <c r="B47" s="225" t="s">
        <v>79</v>
      </c>
      <c r="C47" s="137" t="s">
        <v>142</v>
      </c>
      <c r="D47" s="156" t="s">
        <v>143</v>
      </c>
      <c r="E47" s="145" t="s">
        <v>153</v>
      </c>
      <c r="F47" s="254" t="str">
        <f t="shared" si="6"/>
        <v>ร.ต.อ.</v>
      </c>
      <c r="G47" s="255" t="str">
        <f t="shared" si="7"/>
        <v>ร.ต.อ.</v>
      </c>
    </row>
    <row r="48" spans="1:7" ht="21.75" customHeight="1">
      <c r="A48" s="213">
        <v>38</v>
      </c>
      <c r="B48" s="225" t="s">
        <v>79</v>
      </c>
      <c r="C48" s="137" t="s">
        <v>144</v>
      </c>
      <c r="D48" s="156" t="s">
        <v>145</v>
      </c>
      <c r="E48" s="145" t="s">
        <v>154</v>
      </c>
      <c r="F48" s="254" t="str">
        <f t="shared" si="6"/>
        <v>ร.ต.อ.</v>
      </c>
      <c r="G48" s="255" t="str">
        <f t="shared" si="7"/>
        <v>ร.ต.อ.</v>
      </c>
    </row>
    <row r="49" spans="1:7" ht="21.75" customHeight="1">
      <c r="A49" s="213">
        <v>39</v>
      </c>
      <c r="B49" s="225" t="s">
        <v>79</v>
      </c>
      <c r="C49" s="137" t="s">
        <v>146</v>
      </c>
      <c r="D49" s="156" t="s">
        <v>147</v>
      </c>
      <c r="E49" s="145" t="s">
        <v>155</v>
      </c>
      <c r="F49" s="254" t="str">
        <f t="shared" si="6"/>
        <v>ร.ต.อ.</v>
      </c>
      <c r="G49" s="255" t="str">
        <f t="shared" si="7"/>
        <v>ร.ต.อ.</v>
      </c>
    </row>
    <row r="50" spans="1:7" ht="21.75" customHeight="1">
      <c r="A50" s="213">
        <v>40</v>
      </c>
      <c r="B50" s="225" t="s">
        <v>141</v>
      </c>
      <c r="C50" s="137" t="s">
        <v>148</v>
      </c>
      <c r="D50" s="138" t="s">
        <v>149</v>
      </c>
      <c r="E50" s="145" t="s">
        <v>156</v>
      </c>
      <c r="F50" s="254" t="str">
        <f t="shared" si="6"/>
        <v>ร.ต.ต.</v>
      </c>
      <c r="G50" s="255" t="str">
        <f t="shared" si="7"/>
        <v>ร.ต.ต.</v>
      </c>
    </row>
    <row r="51" spans="1:7" ht="21.75" customHeight="1">
      <c r="A51" s="270" t="s">
        <v>335</v>
      </c>
      <c r="B51" s="271"/>
      <c r="C51" s="271"/>
      <c r="D51" s="271"/>
      <c r="E51" s="271"/>
      <c r="F51" s="271"/>
      <c r="G51" s="272"/>
    </row>
    <row r="52" spans="1:7" ht="21.75" customHeight="1">
      <c r="A52" s="213">
        <v>41</v>
      </c>
      <c r="B52" s="228" t="s">
        <v>79</v>
      </c>
      <c r="C52" s="223" t="s">
        <v>333</v>
      </c>
      <c r="D52" s="229" t="s">
        <v>334</v>
      </c>
      <c r="E52" s="220" t="s">
        <v>336</v>
      </c>
      <c r="F52" s="254" t="str">
        <f>B52</f>
        <v>ร.ต.อ.</v>
      </c>
      <c r="G52" s="255" t="str">
        <f>B52</f>
        <v>ร.ต.อ.</v>
      </c>
    </row>
    <row r="53" spans="1:7" ht="21.75" customHeight="1">
      <c r="A53" s="270" t="s">
        <v>71</v>
      </c>
      <c r="B53" s="271"/>
      <c r="C53" s="271"/>
      <c r="D53" s="271"/>
      <c r="E53" s="271"/>
      <c r="F53" s="271"/>
      <c r="G53" s="272"/>
    </row>
    <row r="54" spans="1:7" ht="21.75" customHeight="1">
      <c r="A54" s="213">
        <v>42</v>
      </c>
      <c r="B54" s="228" t="s">
        <v>79</v>
      </c>
      <c r="C54" s="223" t="s">
        <v>103</v>
      </c>
      <c r="D54" s="229" t="s">
        <v>104</v>
      </c>
      <c r="E54" s="230" t="s">
        <v>169</v>
      </c>
      <c r="F54" s="254" t="str">
        <f t="shared" ref="F54:F61" si="8">B54</f>
        <v>ร.ต.อ.</v>
      </c>
      <c r="G54" s="255" t="str">
        <f t="shared" ref="G54:G61" si="9">B54</f>
        <v>ร.ต.อ.</v>
      </c>
    </row>
    <row r="55" spans="1:7" ht="21.75" customHeight="1">
      <c r="A55" s="213">
        <v>43</v>
      </c>
      <c r="B55" s="231" t="s">
        <v>79</v>
      </c>
      <c r="C55" s="232" t="s">
        <v>355</v>
      </c>
      <c r="D55" s="224" t="s">
        <v>356</v>
      </c>
      <c r="E55" s="219" t="s">
        <v>361</v>
      </c>
      <c r="F55" s="254" t="str">
        <f t="shared" si="8"/>
        <v>ร.ต.อ.</v>
      </c>
      <c r="G55" s="255" t="str">
        <f t="shared" si="9"/>
        <v>ร.ต.อ.</v>
      </c>
    </row>
    <row r="56" spans="1:7" ht="21.75" customHeight="1">
      <c r="A56" s="213">
        <v>44</v>
      </c>
      <c r="B56" s="231" t="s">
        <v>79</v>
      </c>
      <c r="C56" s="232" t="s">
        <v>357</v>
      </c>
      <c r="D56" s="224" t="s">
        <v>358</v>
      </c>
      <c r="E56" s="219" t="s">
        <v>361</v>
      </c>
      <c r="F56" s="254" t="str">
        <f t="shared" si="8"/>
        <v>ร.ต.อ.</v>
      </c>
      <c r="G56" s="255" t="str">
        <f t="shared" si="9"/>
        <v>ร.ต.อ.</v>
      </c>
    </row>
    <row r="57" spans="1:7" ht="21.75" customHeight="1">
      <c r="A57" s="213">
        <v>45</v>
      </c>
      <c r="B57" s="233" t="s">
        <v>79</v>
      </c>
      <c r="C57" s="234" t="s">
        <v>359</v>
      </c>
      <c r="D57" s="235" t="s">
        <v>360</v>
      </c>
      <c r="E57" s="236" t="s">
        <v>362</v>
      </c>
      <c r="F57" s="254" t="str">
        <f t="shared" si="8"/>
        <v>ร.ต.อ.</v>
      </c>
      <c r="G57" s="255" t="str">
        <f t="shared" si="9"/>
        <v>ร.ต.อ.</v>
      </c>
    </row>
    <row r="58" spans="1:7" ht="21.75" customHeight="1">
      <c r="A58" s="213">
        <v>46</v>
      </c>
      <c r="B58" s="231" t="s">
        <v>79</v>
      </c>
      <c r="C58" s="232" t="s">
        <v>108</v>
      </c>
      <c r="D58" s="224" t="s">
        <v>109</v>
      </c>
      <c r="E58" s="219" t="s">
        <v>170</v>
      </c>
      <c r="F58" s="254" t="str">
        <f t="shared" si="8"/>
        <v>ร.ต.อ.</v>
      </c>
      <c r="G58" s="255" t="str">
        <f t="shared" si="9"/>
        <v>ร.ต.อ.</v>
      </c>
    </row>
    <row r="59" spans="1:7" ht="21.75" customHeight="1">
      <c r="A59" s="213">
        <v>47</v>
      </c>
      <c r="B59" s="231" t="s">
        <v>79</v>
      </c>
      <c r="C59" s="232" t="s">
        <v>363</v>
      </c>
      <c r="D59" s="224" t="s">
        <v>111</v>
      </c>
      <c r="E59" s="219" t="s">
        <v>171</v>
      </c>
      <c r="F59" s="254" t="str">
        <f t="shared" si="8"/>
        <v>ร.ต.อ.</v>
      </c>
      <c r="G59" s="255" t="str">
        <f t="shared" si="9"/>
        <v>ร.ต.อ.</v>
      </c>
    </row>
    <row r="60" spans="1:7" ht="21.75" customHeight="1">
      <c r="A60" s="213">
        <v>48</v>
      </c>
      <c r="B60" s="231" t="s">
        <v>79</v>
      </c>
      <c r="C60" s="232" t="s">
        <v>113</v>
      </c>
      <c r="D60" s="224" t="s">
        <v>114</v>
      </c>
      <c r="E60" s="219" t="s">
        <v>172</v>
      </c>
      <c r="F60" s="254" t="str">
        <f t="shared" si="8"/>
        <v>ร.ต.อ.</v>
      </c>
      <c r="G60" s="255" t="str">
        <f t="shared" si="9"/>
        <v>ร.ต.อ.</v>
      </c>
    </row>
    <row r="61" spans="1:7" ht="21.75" customHeight="1">
      <c r="A61" s="213">
        <v>49</v>
      </c>
      <c r="B61" s="231" t="s">
        <v>79</v>
      </c>
      <c r="C61" s="232" t="s">
        <v>116</v>
      </c>
      <c r="D61" s="224" t="s">
        <v>117</v>
      </c>
      <c r="E61" s="219" t="s">
        <v>173</v>
      </c>
      <c r="F61" s="254" t="str">
        <f t="shared" si="8"/>
        <v>ร.ต.อ.</v>
      </c>
      <c r="G61" s="255" t="str">
        <f t="shared" si="9"/>
        <v>ร.ต.อ.</v>
      </c>
    </row>
    <row r="62" spans="1:7" ht="21.75" customHeight="1">
      <c r="A62" s="270" t="s">
        <v>174</v>
      </c>
      <c r="B62" s="271"/>
      <c r="C62" s="271"/>
      <c r="D62" s="271"/>
      <c r="E62" s="271"/>
      <c r="F62" s="271"/>
      <c r="G62" s="272"/>
    </row>
    <row r="63" spans="1:7" ht="21.75" customHeight="1">
      <c r="A63" s="213">
        <v>50</v>
      </c>
      <c r="B63" s="225" t="s">
        <v>79</v>
      </c>
      <c r="C63" s="137" t="s">
        <v>157</v>
      </c>
      <c r="D63" s="138" t="s">
        <v>158</v>
      </c>
      <c r="E63" s="139" t="s">
        <v>159</v>
      </c>
      <c r="F63" s="254" t="str">
        <f>B63</f>
        <v>ร.ต.อ.</v>
      </c>
      <c r="G63" s="255" t="str">
        <f>B63</f>
        <v>ร.ต.อ.</v>
      </c>
    </row>
    <row r="64" spans="1:7" ht="19.5" customHeight="1">
      <c r="G64" s="49"/>
    </row>
    <row r="65" spans="7:7" ht="19.5" customHeight="1">
      <c r="G65" s="49"/>
    </row>
    <row r="66" spans="7:7" ht="19.5" customHeight="1">
      <c r="G66" s="49"/>
    </row>
    <row r="67" spans="7:7" ht="19.5" customHeight="1">
      <c r="G67" s="49"/>
    </row>
    <row r="68" spans="7:7" ht="19.5" customHeight="1">
      <c r="G68" s="49"/>
    </row>
    <row r="69" spans="7:7" ht="19.5" customHeight="1">
      <c r="G69" s="49"/>
    </row>
    <row r="70" spans="7:7" ht="19.5" customHeight="1">
      <c r="G70" s="49"/>
    </row>
    <row r="71" spans="7:7" ht="19.5" customHeight="1">
      <c r="G71" s="49"/>
    </row>
    <row r="72" spans="7:7" ht="19.5" customHeight="1">
      <c r="G72" s="49"/>
    </row>
    <row r="73" spans="7:7" ht="19.5" customHeight="1">
      <c r="G73" s="49"/>
    </row>
    <row r="74" spans="7:7" ht="19.5" customHeight="1">
      <c r="G74" s="49"/>
    </row>
    <row r="75" spans="7:7" ht="19.5" customHeight="1">
      <c r="G75" s="49"/>
    </row>
    <row r="76" spans="7:7" ht="19.5" customHeight="1">
      <c r="G76" s="49"/>
    </row>
    <row r="77" spans="7:7" ht="19.5" customHeight="1">
      <c r="G77" s="49"/>
    </row>
  </sheetData>
  <mergeCells count="14">
    <mergeCell ref="B5:D6"/>
    <mergeCell ref="A1:G1"/>
    <mergeCell ref="A2:G2"/>
    <mergeCell ref="A3:G3"/>
    <mergeCell ref="F5:G5"/>
    <mergeCell ref="A5:A6"/>
    <mergeCell ref="E5:E6"/>
    <mergeCell ref="A53:G53"/>
    <mergeCell ref="A62:G62"/>
    <mergeCell ref="A7:G7"/>
    <mergeCell ref="A18:G18"/>
    <mergeCell ref="A29:G29"/>
    <mergeCell ref="A40:G40"/>
    <mergeCell ref="A51:G51"/>
  </mergeCells>
  <pageMargins left="0.31496062992125984" right="0.23622047244094491" top="0.51" bottom="0.35433070866141736" header="0.15748031496062992" footer="0.11811023622047245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"/>
  <sheetViews>
    <sheetView tabSelected="1" topLeftCell="A2" zoomScale="110" zoomScaleNormal="110" workbookViewId="0">
      <selection activeCell="E12" sqref="E12"/>
    </sheetView>
  </sheetViews>
  <sheetFormatPr defaultRowHeight="18.75" customHeight="1"/>
  <cols>
    <col min="1" max="1" width="5.125" style="51" bestFit="1" customWidth="1"/>
    <col min="2" max="2" width="5.5" style="51" bestFit="1" customWidth="1"/>
    <col min="3" max="3" width="10.75" style="51" bestFit="1" customWidth="1"/>
    <col min="4" max="4" width="12.75" style="51" customWidth="1"/>
    <col min="5" max="5" width="37" style="51" customWidth="1"/>
    <col min="6" max="6" width="14.25" style="83" customWidth="1"/>
    <col min="7" max="16384" width="9" style="51"/>
  </cols>
  <sheetData>
    <row r="1" spans="1:6" ht="22.5" customHeight="1">
      <c r="A1" s="302" t="s">
        <v>17</v>
      </c>
      <c r="B1" s="302"/>
      <c r="C1" s="302"/>
      <c r="D1" s="302"/>
      <c r="E1" s="302"/>
      <c r="F1" s="302"/>
    </row>
    <row r="2" spans="1:6" ht="22.5" customHeight="1">
      <c r="A2" s="302" t="s">
        <v>246</v>
      </c>
      <c r="B2" s="302"/>
      <c r="C2" s="302"/>
      <c r="D2" s="302"/>
      <c r="E2" s="302"/>
      <c r="F2" s="302"/>
    </row>
    <row r="3" spans="1:6" ht="20.25">
      <c r="A3" s="302" t="s">
        <v>22</v>
      </c>
      <c r="B3" s="302"/>
      <c r="C3" s="302"/>
      <c r="D3" s="302"/>
      <c r="E3" s="302"/>
      <c r="F3" s="302"/>
    </row>
    <row r="4" spans="1:6" ht="21.75" customHeight="1">
      <c r="A4" s="306" t="s">
        <v>72</v>
      </c>
      <c r="B4" s="306"/>
      <c r="C4" s="306"/>
      <c r="D4" s="306"/>
      <c r="E4" s="306"/>
      <c r="F4" s="306"/>
    </row>
    <row r="5" spans="1:6" ht="7.5" customHeight="1">
      <c r="A5" s="101"/>
      <c r="B5" s="102"/>
      <c r="C5" s="102"/>
      <c r="D5" s="102"/>
      <c r="E5" s="101"/>
      <c r="F5" s="102"/>
    </row>
    <row r="6" spans="1:6" ht="21.75" customHeight="1">
      <c r="A6" s="269" t="s">
        <v>3</v>
      </c>
      <c r="B6" s="307" t="s">
        <v>18</v>
      </c>
      <c r="C6" s="308"/>
      <c r="D6" s="308"/>
      <c r="E6" s="269" t="s">
        <v>10</v>
      </c>
      <c r="F6" s="123" t="s">
        <v>2</v>
      </c>
    </row>
    <row r="7" spans="1:6" ht="21.75" customHeight="1">
      <c r="A7" s="270" t="s">
        <v>7</v>
      </c>
      <c r="B7" s="271"/>
      <c r="C7" s="271"/>
      <c r="D7" s="271"/>
      <c r="E7" s="271"/>
      <c r="F7" s="272"/>
    </row>
    <row r="8" spans="1:6" ht="21.75" customHeight="1">
      <c r="A8" s="208">
        <v>1</v>
      </c>
      <c r="B8" s="209" t="s">
        <v>52</v>
      </c>
      <c r="C8" s="210" t="s">
        <v>176</v>
      </c>
      <c r="D8" s="154" t="s">
        <v>177</v>
      </c>
      <c r="E8" s="128" t="s">
        <v>192</v>
      </c>
      <c r="F8" s="254" t="str">
        <f>B8</f>
        <v>พ.ต.ต.</v>
      </c>
    </row>
    <row r="9" spans="1:6" ht="21.75" customHeight="1">
      <c r="A9" s="208">
        <v>2</v>
      </c>
      <c r="B9" s="209" t="s">
        <v>79</v>
      </c>
      <c r="C9" s="210" t="s">
        <v>179</v>
      </c>
      <c r="D9" s="154" t="s">
        <v>341</v>
      </c>
      <c r="E9" s="128" t="s">
        <v>193</v>
      </c>
      <c r="F9" s="254" t="str">
        <f t="shared" ref="F9:F17" si="0">B9</f>
        <v>ร.ต.อ.</v>
      </c>
    </row>
    <row r="10" spans="1:6" ht="21.75" customHeight="1">
      <c r="A10" s="213">
        <v>3</v>
      </c>
      <c r="B10" s="214" t="s">
        <v>79</v>
      </c>
      <c r="C10" s="141" t="s">
        <v>180</v>
      </c>
      <c r="D10" s="142" t="s">
        <v>181</v>
      </c>
      <c r="E10" s="134" t="s">
        <v>194</v>
      </c>
      <c r="F10" s="254" t="str">
        <f t="shared" si="0"/>
        <v>ร.ต.อ.</v>
      </c>
    </row>
    <row r="11" spans="1:6" ht="21.75" customHeight="1">
      <c r="A11" s="213">
        <v>4</v>
      </c>
      <c r="B11" s="214" t="s">
        <v>79</v>
      </c>
      <c r="C11" s="141" t="s">
        <v>183</v>
      </c>
      <c r="D11" s="142" t="s">
        <v>184</v>
      </c>
      <c r="E11" s="134" t="s">
        <v>195</v>
      </c>
      <c r="F11" s="254" t="str">
        <f t="shared" si="0"/>
        <v>ร.ต.อ.</v>
      </c>
    </row>
    <row r="12" spans="1:6" ht="21.75" customHeight="1">
      <c r="A12" s="213">
        <v>5</v>
      </c>
      <c r="B12" s="214" t="s">
        <v>79</v>
      </c>
      <c r="C12" s="141" t="s">
        <v>186</v>
      </c>
      <c r="D12" s="142" t="s">
        <v>187</v>
      </c>
      <c r="E12" s="134" t="s">
        <v>196</v>
      </c>
      <c r="F12" s="254" t="str">
        <f t="shared" si="0"/>
        <v>ร.ต.อ.</v>
      </c>
    </row>
    <row r="13" spans="1:6" ht="21.75" customHeight="1">
      <c r="A13" s="213">
        <v>6</v>
      </c>
      <c r="B13" s="214" t="s">
        <v>79</v>
      </c>
      <c r="C13" s="141" t="s">
        <v>189</v>
      </c>
      <c r="D13" s="142" t="s">
        <v>190</v>
      </c>
      <c r="E13" s="134" t="s">
        <v>197</v>
      </c>
      <c r="F13" s="254" t="str">
        <f t="shared" si="0"/>
        <v>ร.ต.อ.</v>
      </c>
    </row>
    <row r="14" spans="1:6" ht="21.75" customHeight="1">
      <c r="A14" s="213">
        <v>7</v>
      </c>
      <c r="B14" s="141" t="s">
        <v>73</v>
      </c>
      <c r="C14" s="137" t="s">
        <v>198</v>
      </c>
      <c r="D14" s="141" t="s">
        <v>199</v>
      </c>
      <c r="E14" s="134" t="s">
        <v>200</v>
      </c>
      <c r="F14" s="254" t="str">
        <f t="shared" si="0"/>
        <v>พ.ต.ท.</v>
      </c>
    </row>
    <row r="15" spans="1:6" ht="21.75" customHeight="1">
      <c r="A15" s="213">
        <v>8</v>
      </c>
      <c r="B15" s="214" t="s">
        <v>201</v>
      </c>
      <c r="C15" s="217" t="s">
        <v>338</v>
      </c>
      <c r="D15" s="155" t="s">
        <v>339</v>
      </c>
      <c r="E15" s="134" t="s">
        <v>202</v>
      </c>
      <c r="F15" s="254" t="str">
        <f t="shared" si="0"/>
        <v>ร.ต.ท.</v>
      </c>
    </row>
    <row r="16" spans="1:6" ht="21.75" customHeight="1">
      <c r="A16" s="213">
        <v>9</v>
      </c>
      <c r="B16" s="214" t="s">
        <v>79</v>
      </c>
      <c r="C16" s="141" t="s">
        <v>204</v>
      </c>
      <c r="D16" s="142" t="s">
        <v>205</v>
      </c>
      <c r="E16" s="134" t="s">
        <v>206</v>
      </c>
      <c r="F16" s="254" t="str">
        <f t="shared" si="0"/>
        <v>ร.ต.อ.</v>
      </c>
    </row>
    <row r="17" spans="1:6" ht="21.75" customHeight="1">
      <c r="A17" s="213">
        <v>10</v>
      </c>
      <c r="B17" s="214" t="s">
        <v>79</v>
      </c>
      <c r="C17" s="141" t="s">
        <v>208</v>
      </c>
      <c r="D17" s="142" t="s">
        <v>209</v>
      </c>
      <c r="E17" s="134" t="s">
        <v>210</v>
      </c>
      <c r="F17" s="254" t="str">
        <f t="shared" si="0"/>
        <v>ร.ต.อ.</v>
      </c>
    </row>
    <row r="18" spans="1:6" ht="21.75" customHeight="1">
      <c r="A18" s="270" t="s">
        <v>68</v>
      </c>
      <c r="B18" s="271"/>
      <c r="C18" s="271"/>
      <c r="D18" s="271"/>
      <c r="E18" s="271"/>
      <c r="F18" s="272"/>
    </row>
    <row r="19" spans="1:6" ht="21.75" customHeight="1">
      <c r="A19" s="213">
        <v>11</v>
      </c>
      <c r="B19" s="218" t="s">
        <v>201</v>
      </c>
      <c r="C19" s="218" t="s">
        <v>343</v>
      </c>
      <c r="D19" s="218" t="s">
        <v>212</v>
      </c>
      <c r="E19" s="219" t="s">
        <v>213</v>
      </c>
      <c r="F19" s="254" t="str">
        <f>B19</f>
        <v>ร.ต.ท.</v>
      </c>
    </row>
    <row r="20" spans="1:6" ht="21.75" customHeight="1">
      <c r="A20" s="213">
        <v>12</v>
      </c>
      <c r="B20" s="218" t="s">
        <v>79</v>
      </c>
      <c r="C20" s="218" t="s">
        <v>215</v>
      </c>
      <c r="D20" s="218" t="s">
        <v>216</v>
      </c>
      <c r="E20" s="219" t="s">
        <v>217</v>
      </c>
      <c r="F20" s="254" t="str">
        <f t="shared" ref="F20:F28" si="1">B20</f>
        <v>ร.ต.อ.</v>
      </c>
    </row>
    <row r="21" spans="1:6" ht="21.75" customHeight="1">
      <c r="A21" s="213">
        <v>13</v>
      </c>
      <c r="B21" s="218" t="s">
        <v>79</v>
      </c>
      <c r="C21" s="218" t="s">
        <v>219</v>
      </c>
      <c r="D21" s="218" t="s">
        <v>220</v>
      </c>
      <c r="E21" s="219" t="s">
        <v>344</v>
      </c>
      <c r="F21" s="254" t="str">
        <f t="shared" si="1"/>
        <v>ร.ต.อ.</v>
      </c>
    </row>
    <row r="22" spans="1:6" ht="21.75" customHeight="1">
      <c r="A22" s="213">
        <v>14</v>
      </c>
      <c r="B22" s="218" t="s">
        <v>79</v>
      </c>
      <c r="C22" s="218" t="s">
        <v>222</v>
      </c>
      <c r="D22" s="218" t="s">
        <v>223</v>
      </c>
      <c r="E22" s="219" t="s">
        <v>224</v>
      </c>
      <c r="F22" s="254" t="str">
        <f t="shared" si="1"/>
        <v>ร.ต.อ.</v>
      </c>
    </row>
    <row r="23" spans="1:6" ht="21.75" customHeight="1">
      <c r="A23" s="213">
        <v>15</v>
      </c>
      <c r="B23" s="218" t="s">
        <v>79</v>
      </c>
      <c r="C23" s="218" t="s">
        <v>226</v>
      </c>
      <c r="D23" s="218" t="s">
        <v>227</v>
      </c>
      <c r="E23" s="219" t="s">
        <v>228</v>
      </c>
      <c r="F23" s="254" t="str">
        <f t="shared" si="1"/>
        <v>ร.ต.อ.</v>
      </c>
    </row>
    <row r="24" spans="1:6" ht="21.75" customHeight="1">
      <c r="A24" s="213">
        <v>16</v>
      </c>
      <c r="B24" s="218" t="s">
        <v>79</v>
      </c>
      <c r="C24" s="218" t="s">
        <v>345</v>
      </c>
      <c r="D24" s="218" t="s">
        <v>346</v>
      </c>
      <c r="E24" s="219" t="s">
        <v>347</v>
      </c>
      <c r="F24" s="254" t="str">
        <f t="shared" si="1"/>
        <v>ร.ต.อ.</v>
      </c>
    </row>
    <row r="25" spans="1:6" ht="21.75" customHeight="1">
      <c r="A25" s="213">
        <v>17</v>
      </c>
      <c r="B25" s="218" t="s">
        <v>73</v>
      </c>
      <c r="C25" s="218" t="s">
        <v>230</v>
      </c>
      <c r="D25" s="218" t="s">
        <v>231</v>
      </c>
      <c r="E25" s="219" t="s">
        <v>232</v>
      </c>
      <c r="F25" s="254" t="str">
        <f t="shared" si="1"/>
        <v>พ.ต.ท.</v>
      </c>
    </row>
    <row r="26" spans="1:6" ht="21.75" customHeight="1">
      <c r="A26" s="213">
        <v>18</v>
      </c>
      <c r="B26" s="218" t="s">
        <v>79</v>
      </c>
      <c r="C26" s="218" t="s">
        <v>234</v>
      </c>
      <c r="D26" s="218" t="s">
        <v>235</v>
      </c>
      <c r="E26" s="219" t="s">
        <v>236</v>
      </c>
      <c r="F26" s="254" t="str">
        <f t="shared" si="1"/>
        <v>ร.ต.อ.</v>
      </c>
    </row>
    <row r="27" spans="1:6" ht="21.75" customHeight="1">
      <c r="A27" s="213">
        <v>19</v>
      </c>
      <c r="B27" s="218" t="s">
        <v>79</v>
      </c>
      <c r="C27" s="218" t="s">
        <v>238</v>
      </c>
      <c r="D27" s="218" t="s">
        <v>239</v>
      </c>
      <c r="E27" s="219" t="s">
        <v>240</v>
      </c>
      <c r="F27" s="254" t="str">
        <f t="shared" si="1"/>
        <v>ร.ต.อ.</v>
      </c>
    </row>
    <row r="28" spans="1:6" ht="21.75" customHeight="1">
      <c r="A28" s="213">
        <v>20</v>
      </c>
      <c r="B28" s="218" t="s">
        <v>79</v>
      </c>
      <c r="C28" s="218" t="s">
        <v>241</v>
      </c>
      <c r="D28" s="218" t="s">
        <v>242</v>
      </c>
      <c r="E28" s="219" t="s">
        <v>243</v>
      </c>
      <c r="F28" s="254" t="str">
        <f t="shared" si="1"/>
        <v>ร.ต.อ.</v>
      </c>
    </row>
    <row r="29" spans="1:6" ht="21.75" customHeight="1">
      <c r="A29" s="270" t="s">
        <v>69</v>
      </c>
      <c r="B29" s="271"/>
      <c r="C29" s="271"/>
      <c r="D29" s="271"/>
      <c r="E29" s="271"/>
      <c r="F29" s="272"/>
    </row>
    <row r="30" spans="1:6" ht="21.75" customHeight="1">
      <c r="A30" s="213">
        <v>21</v>
      </c>
      <c r="B30" s="222" t="s">
        <v>73</v>
      </c>
      <c r="C30" s="223" t="s">
        <v>74</v>
      </c>
      <c r="D30" s="224" t="s">
        <v>75</v>
      </c>
      <c r="E30" s="219" t="s">
        <v>163</v>
      </c>
      <c r="F30" s="254" t="str">
        <f>B30</f>
        <v>พ.ต.ท.</v>
      </c>
    </row>
    <row r="31" spans="1:6" ht="21.75" customHeight="1">
      <c r="A31" s="213">
        <v>22</v>
      </c>
      <c r="B31" s="222" t="s">
        <v>52</v>
      </c>
      <c r="C31" s="223" t="s">
        <v>350</v>
      </c>
      <c r="D31" s="224" t="s">
        <v>77</v>
      </c>
      <c r="E31" s="219" t="s">
        <v>164</v>
      </c>
      <c r="F31" s="254" t="str">
        <f t="shared" ref="F31:F39" si="2">B31</f>
        <v>พ.ต.ต.</v>
      </c>
    </row>
    <row r="32" spans="1:6" ht="21.75" customHeight="1">
      <c r="A32" s="213">
        <v>23</v>
      </c>
      <c r="B32" s="222" t="s">
        <v>79</v>
      </c>
      <c r="C32" s="223" t="s">
        <v>80</v>
      </c>
      <c r="D32" s="224" t="s">
        <v>81</v>
      </c>
      <c r="E32" s="219" t="s">
        <v>165</v>
      </c>
      <c r="F32" s="254" t="str">
        <f t="shared" si="2"/>
        <v>ร.ต.อ.</v>
      </c>
    </row>
    <row r="33" spans="1:6" ht="21.75" customHeight="1">
      <c r="A33" s="213">
        <v>24</v>
      </c>
      <c r="B33" s="222" t="s">
        <v>79</v>
      </c>
      <c r="C33" s="223" t="s">
        <v>83</v>
      </c>
      <c r="D33" s="224" t="s">
        <v>84</v>
      </c>
      <c r="E33" s="219" t="s">
        <v>166</v>
      </c>
      <c r="F33" s="254" t="str">
        <f t="shared" si="2"/>
        <v>ร.ต.อ.</v>
      </c>
    </row>
    <row r="34" spans="1:6" ht="21.75" customHeight="1">
      <c r="A34" s="213">
        <v>25</v>
      </c>
      <c r="B34" s="222" t="s">
        <v>79</v>
      </c>
      <c r="C34" s="223" t="s">
        <v>86</v>
      </c>
      <c r="D34" s="224" t="s">
        <v>87</v>
      </c>
      <c r="E34" s="219" t="s">
        <v>167</v>
      </c>
      <c r="F34" s="254" t="str">
        <f t="shared" si="2"/>
        <v>ร.ต.อ.</v>
      </c>
    </row>
    <row r="35" spans="1:6" ht="21.75" customHeight="1">
      <c r="A35" s="213">
        <v>26</v>
      </c>
      <c r="B35" s="222" t="s">
        <v>79</v>
      </c>
      <c r="C35" s="223" t="s">
        <v>160</v>
      </c>
      <c r="D35" s="224" t="s">
        <v>161</v>
      </c>
      <c r="E35" s="219" t="s">
        <v>168</v>
      </c>
      <c r="F35" s="254" t="str">
        <f t="shared" si="2"/>
        <v>ร.ต.อ.</v>
      </c>
    </row>
    <row r="36" spans="1:6" ht="21.75" customHeight="1">
      <c r="A36" s="213">
        <v>27</v>
      </c>
      <c r="B36" s="222" t="s">
        <v>79</v>
      </c>
      <c r="C36" s="223" t="s">
        <v>89</v>
      </c>
      <c r="D36" s="224" t="s">
        <v>90</v>
      </c>
      <c r="E36" s="219" t="s">
        <v>91</v>
      </c>
      <c r="F36" s="254" t="str">
        <f t="shared" si="2"/>
        <v>ร.ต.อ.</v>
      </c>
    </row>
    <row r="37" spans="1:6" ht="21.75" customHeight="1">
      <c r="A37" s="213">
        <v>28</v>
      </c>
      <c r="B37" s="222" t="s">
        <v>79</v>
      </c>
      <c r="C37" s="223" t="s">
        <v>93</v>
      </c>
      <c r="D37" s="224" t="s">
        <v>94</v>
      </c>
      <c r="E37" s="219" t="s">
        <v>351</v>
      </c>
      <c r="F37" s="254" t="str">
        <f t="shared" si="2"/>
        <v>ร.ต.อ.</v>
      </c>
    </row>
    <row r="38" spans="1:6" ht="21.75" customHeight="1">
      <c r="A38" s="213">
        <v>29</v>
      </c>
      <c r="B38" s="222" t="s">
        <v>79</v>
      </c>
      <c r="C38" s="223" t="s">
        <v>96</v>
      </c>
      <c r="D38" s="224" t="s">
        <v>97</v>
      </c>
      <c r="E38" s="219" t="s">
        <v>98</v>
      </c>
      <c r="F38" s="254" t="str">
        <f t="shared" si="2"/>
        <v>ร.ต.อ.</v>
      </c>
    </row>
    <row r="39" spans="1:6" ht="21.75" customHeight="1">
      <c r="A39" s="213">
        <v>30</v>
      </c>
      <c r="B39" s="222" t="s">
        <v>79</v>
      </c>
      <c r="C39" s="223" t="s">
        <v>100</v>
      </c>
      <c r="D39" s="224" t="s">
        <v>101</v>
      </c>
      <c r="E39" s="219" t="s">
        <v>102</v>
      </c>
      <c r="F39" s="254" t="str">
        <f t="shared" si="2"/>
        <v>ร.ต.อ.</v>
      </c>
    </row>
    <row r="40" spans="1:6" ht="21.75" customHeight="1">
      <c r="A40" s="270" t="s">
        <v>70</v>
      </c>
      <c r="B40" s="271"/>
      <c r="C40" s="271"/>
      <c r="D40" s="271"/>
      <c r="E40" s="271"/>
      <c r="F40" s="272"/>
    </row>
    <row r="41" spans="1:6" ht="21.75" customHeight="1">
      <c r="A41" s="213">
        <v>31</v>
      </c>
      <c r="B41" s="225" t="s">
        <v>73</v>
      </c>
      <c r="C41" s="137" t="s">
        <v>119</v>
      </c>
      <c r="D41" s="138" t="s">
        <v>120</v>
      </c>
      <c r="E41" s="145" t="s">
        <v>121</v>
      </c>
      <c r="F41" s="254" t="str">
        <f>B41</f>
        <v>พ.ต.ท.</v>
      </c>
    </row>
    <row r="42" spans="1:6" ht="21.75" customHeight="1">
      <c r="A42" s="213">
        <v>32</v>
      </c>
      <c r="B42" s="225" t="s">
        <v>73</v>
      </c>
      <c r="C42" s="137" t="s">
        <v>131</v>
      </c>
      <c r="D42" s="138" t="s">
        <v>132</v>
      </c>
      <c r="E42" s="145" t="s">
        <v>133</v>
      </c>
      <c r="F42" s="254" t="str">
        <f t="shared" ref="F42:F50" si="3">B42</f>
        <v>พ.ต.ท.</v>
      </c>
    </row>
    <row r="43" spans="1:6" ht="21.75" customHeight="1">
      <c r="A43" s="213">
        <v>33</v>
      </c>
      <c r="B43" s="225" t="s">
        <v>79</v>
      </c>
      <c r="C43" s="137" t="s">
        <v>429</v>
      </c>
      <c r="D43" s="138" t="s">
        <v>354</v>
      </c>
      <c r="E43" s="145" t="s">
        <v>134</v>
      </c>
      <c r="F43" s="254" t="str">
        <f t="shared" si="3"/>
        <v>ร.ต.อ.</v>
      </c>
    </row>
    <row r="44" spans="1:6" ht="21.75" customHeight="1">
      <c r="A44" s="213">
        <v>34</v>
      </c>
      <c r="B44" s="225" t="s">
        <v>79</v>
      </c>
      <c r="C44" s="137" t="s">
        <v>135</v>
      </c>
      <c r="D44" s="138" t="s">
        <v>136</v>
      </c>
      <c r="E44" s="145" t="s">
        <v>150</v>
      </c>
      <c r="F44" s="254" t="str">
        <f t="shared" si="3"/>
        <v>ร.ต.อ.</v>
      </c>
    </row>
    <row r="45" spans="1:6" ht="21.75" customHeight="1">
      <c r="A45" s="213">
        <v>35</v>
      </c>
      <c r="B45" s="225" t="s">
        <v>79</v>
      </c>
      <c r="C45" s="241" t="s">
        <v>137</v>
      </c>
      <c r="D45" s="138" t="s">
        <v>138</v>
      </c>
      <c r="E45" s="145" t="s">
        <v>152</v>
      </c>
      <c r="F45" s="254" t="str">
        <f t="shared" si="3"/>
        <v>ร.ต.อ.</v>
      </c>
    </row>
    <row r="46" spans="1:6" ht="21.75" customHeight="1">
      <c r="A46" s="213">
        <v>36</v>
      </c>
      <c r="B46" s="225" t="s">
        <v>79</v>
      </c>
      <c r="C46" s="137" t="s">
        <v>139</v>
      </c>
      <c r="D46" s="156" t="s">
        <v>140</v>
      </c>
      <c r="E46" s="145" t="s">
        <v>151</v>
      </c>
      <c r="F46" s="254" t="str">
        <f t="shared" si="3"/>
        <v>ร.ต.อ.</v>
      </c>
    </row>
    <row r="47" spans="1:6" ht="21.75" customHeight="1">
      <c r="A47" s="213">
        <v>37</v>
      </c>
      <c r="B47" s="225" t="s">
        <v>79</v>
      </c>
      <c r="C47" s="137" t="s">
        <v>142</v>
      </c>
      <c r="D47" s="156" t="s">
        <v>143</v>
      </c>
      <c r="E47" s="145" t="s">
        <v>153</v>
      </c>
      <c r="F47" s="254" t="str">
        <f t="shared" si="3"/>
        <v>ร.ต.อ.</v>
      </c>
    </row>
    <row r="48" spans="1:6" ht="21.75" customHeight="1">
      <c r="A48" s="213">
        <v>38</v>
      </c>
      <c r="B48" s="225" t="s">
        <v>79</v>
      </c>
      <c r="C48" s="137" t="s">
        <v>144</v>
      </c>
      <c r="D48" s="156" t="s">
        <v>145</v>
      </c>
      <c r="E48" s="145" t="s">
        <v>154</v>
      </c>
      <c r="F48" s="254" t="str">
        <f t="shared" si="3"/>
        <v>ร.ต.อ.</v>
      </c>
    </row>
    <row r="49" spans="1:6" ht="21.75" customHeight="1">
      <c r="A49" s="213">
        <v>39</v>
      </c>
      <c r="B49" s="225" t="s">
        <v>79</v>
      </c>
      <c r="C49" s="137" t="s">
        <v>146</v>
      </c>
      <c r="D49" s="156" t="s">
        <v>147</v>
      </c>
      <c r="E49" s="145" t="s">
        <v>155</v>
      </c>
      <c r="F49" s="254" t="str">
        <f t="shared" si="3"/>
        <v>ร.ต.อ.</v>
      </c>
    </row>
    <row r="50" spans="1:6" ht="21.75" customHeight="1">
      <c r="A50" s="213">
        <v>40</v>
      </c>
      <c r="B50" s="225" t="s">
        <v>141</v>
      </c>
      <c r="C50" s="137" t="s">
        <v>148</v>
      </c>
      <c r="D50" s="138" t="s">
        <v>149</v>
      </c>
      <c r="E50" s="145" t="s">
        <v>156</v>
      </c>
      <c r="F50" s="254" t="str">
        <f t="shared" si="3"/>
        <v>ร.ต.ต.</v>
      </c>
    </row>
    <row r="51" spans="1:6" ht="21.75" customHeight="1">
      <c r="A51" s="270" t="s">
        <v>335</v>
      </c>
      <c r="B51" s="271"/>
      <c r="C51" s="271"/>
      <c r="D51" s="271"/>
      <c r="E51" s="271"/>
      <c r="F51" s="272"/>
    </row>
    <row r="52" spans="1:6" ht="21.75" customHeight="1">
      <c r="A52" s="213">
        <v>41</v>
      </c>
      <c r="B52" s="228" t="s">
        <v>79</v>
      </c>
      <c r="C52" s="223" t="s">
        <v>333</v>
      </c>
      <c r="D52" s="229" t="s">
        <v>334</v>
      </c>
      <c r="E52" s="220" t="s">
        <v>336</v>
      </c>
      <c r="F52" s="254" t="str">
        <f>B52</f>
        <v>ร.ต.อ.</v>
      </c>
    </row>
    <row r="53" spans="1:6" ht="21.75" customHeight="1">
      <c r="A53" s="270" t="s">
        <v>71</v>
      </c>
      <c r="B53" s="271"/>
      <c r="C53" s="271"/>
      <c r="D53" s="271"/>
      <c r="E53" s="271"/>
      <c r="F53" s="272"/>
    </row>
    <row r="54" spans="1:6" ht="21.75" customHeight="1">
      <c r="A54" s="213">
        <v>42</v>
      </c>
      <c r="B54" s="228" t="s">
        <v>79</v>
      </c>
      <c r="C54" s="223" t="s">
        <v>103</v>
      </c>
      <c r="D54" s="229" t="s">
        <v>104</v>
      </c>
      <c r="E54" s="230" t="s">
        <v>169</v>
      </c>
      <c r="F54" s="254" t="str">
        <f t="shared" ref="F54:F61" si="4">B54</f>
        <v>ร.ต.อ.</v>
      </c>
    </row>
    <row r="55" spans="1:6" ht="21.75" customHeight="1">
      <c r="A55" s="213">
        <v>43</v>
      </c>
      <c r="B55" s="231" t="s">
        <v>79</v>
      </c>
      <c r="C55" s="232" t="s">
        <v>355</v>
      </c>
      <c r="D55" s="224" t="s">
        <v>356</v>
      </c>
      <c r="E55" s="219" t="s">
        <v>361</v>
      </c>
      <c r="F55" s="254" t="str">
        <f t="shared" si="4"/>
        <v>ร.ต.อ.</v>
      </c>
    </row>
    <row r="56" spans="1:6" ht="21.75" customHeight="1">
      <c r="A56" s="213">
        <v>44</v>
      </c>
      <c r="B56" s="231" t="s">
        <v>79</v>
      </c>
      <c r="C56" s="232" t="s">
        <v>357</v>
      </c>
      <c r="D56" s="224" t="s">
        <v>358</v>
      </c>
      <c r="E56" s="219" t="s">
        <v>361</v>
      </c>
      <c r="F56" s="254" t="str">
        <f t="shared" si="4"/>
        <v>ร.ต.อ.</v>
      </c>
    </row>
    <row r="57" spans="1:6" ht="21.75" customHeight="1">
      <c r="A57" s="213">
        <v>45</v>
      </c>
      <c r="B57" s="233" t="s">
        <v>79</v>
      </c>
      <c r="C57" s="234" t="s">
        <v>359</v>
      </c>
      <c r="D57" s="235" t="s">
        <v>360</v>
      </c>
      <c r="E57" s="236" t="s">
        <v>362</v>
      </c>
      <c r="F57" s="254" t="str">
        <f t="shared" si="4"/>
        <v>ร.ต.อ.</v>
      </c>
    </row>
    <row r="58" spans="1:6" ht="21.75" customHeight="1">
      <c r="A58" s="213">
        <v>46</v>
      </c>
      <c r="B58" s="231" t="s">
        <v>79</v>
      </c>
      <c r="C58" s="232" t="s">
        <v>108</v>
      </c>
      <c r="D58" s="224" t="s">
        <v>109</v>
      </c>
      <c r="E58" s="219" t="s">
        <v>170</v>
      </c>
      <c r="F58" s="254" t="str">
        <f t="shared" si="4"/>
        <v>ร.ต.อ.</v>
      </c>
    </row>
    <row r="59" spans="1:6" ht="21.75" customHeight="1">
      <c r="A59" s="213">
        <v>47</v>
      </c>
      <c r="B59" s="231" t="s">
        <v>79</v>
      </c>
      <c r="C59" s="232" t="s">
        <v>363</v>
      </c>
      <c r="D59" s="224" t="s">
        <v>111</v>
      </c>
      <c r="E59" s="219" t="s">
        <v>171</v>
      </c>
      <c r="F59" s="254" t="str">
        <f t="shared" si="4"/>
        <v>ร.ต.อ.</v>
      </c>
    </row>
    <row r="60" spans="1:6" ht="21.75" customHeight="1">
      <c r="A60" s="213">
        <v>48</v>
      </c>
      <c r="B60" s="231" t="s">
        <v>79</v>
      </c>
      <c r="C60" s="232" t="s">
        <v>113</v>
      </c>
      <c r="D60" s="224" t="s">
        <v>114</v>
      </c>
      <c r="E60" s="219" t="s">
        <v>172</v>
      </c>
      <c r="F60" s="254" t="str">
        <f t="shared" si="4"/>
        <v>ร.ต.อ.</v>
      </c>
    </row>
    <row r="61" spans="1:6" ht="21.75" customHeight="1">
      <c r="A61" s="213">
        <v>49</v>
      </c>
      <c r="B61" s="231" t="s">
        <v>79</v>
      </c>
      <c r="C61" s="232" t="s">
        <v>116</v>
      </c>
      <c r="D61" s="224" t="s">
        <v>117</v>
      </c>
      <c r="E61" s="219" t="s">
        <v>173</v>
      </c>
      <c r="F61" s="254" t="str">
        <f t="shared" si="4"/>
        <v>ร.ต.อ.</v>
      </c>
    </row>
    <row r="62" spans="1:6" ht="21.75" customHeight="1">
      <c r="A62" s="270" t="s">
        <v>174</v>
      </c>
      <c r="B62" s="271"/>
      <c r="C62" s="271"/>
      <c r="D62" s="271"/>
      <c r="E62" s="271"/>
      <c r="F62" s="272"/>
    </row>
    <row r="63" spans="1:6" ht="21.75" customHeight="1">
      <c r="A63" s="213">
        <v>50</v>
      </c>
      <c r="B63" s="225" t="s">
        <v>79</v>
      </c>
      <c r="C63" s="137" t="s">
        <v>157</v>
      </c>
      <c r="D63" s="138" t="s">
        <v>158</v>
      </c>
      <c r="E63" s="139" t="s">
        <v>159</v>
      </c>
      <c r="F63" s="254" t="str">
        <f>B63</f>
        <v>ร.ต.อ.</v>
      </c>
    </row>
    <row r="64" spans="1:6" ht="18.95" customHeight="1">
      <c r="A64" s="359"/>
      <c r="B64" s="360"/>
      <c r="C64" s="361"/>
      <c r="D64" s="361"/>
      <c r="E64" s="361"/>
      <c r="F64" s="362"/>
    </row>
    <row r="65" spans="1:6" ht="18.95" customHeight="1">
      <c r="A65" s="359"/>
      <c r="B65" s="360"/>
      <c r="C65" s="361"/>
      <c r="D65" s="361"/>
      <c r="E65" s="361"/>
      <c r="F65" s="362"/>
    </row>
    <row r="66" spans="1:6" ht="30" customHeight="1">
      <c r="E66" s="117" t="s">
        <v>53</v>
      </c>
      <c r="F66" s="51"/>
    </row>
    <row r="67" spans="1:6" ht="18.95" customHeight="1">
      <c r="E67" s="52" t="s">
        <v>47</v>
      </c>
      <c r="F67" s="51"/>
    </row>
    <row r="68" spans="1:6" ht="18.95" customHeight="1">
      <c r="E68" s="52" t="s">
        <v>46</v>
      </c>
      <c r="F68" s="51"/>
    </row>
    <row r="69" spans="1:6" ht="18.95" customHeight="1">
      <c r="E69" s="61"/>
      <c r="F69" s="51"/>
    </row>
    <row r="70" spans="1:6" ht="18.95" customHeight="1">
      <c r="F70" s="51"/>
    </row>
    <row r="71" spans="1:6" ht="18.95" customHeight="1">
      <c r="F71" s="51"/>
    </row>
    <row r="72" spans="1:6" ht="18.95" customHeight="1">
      <c r="F72" s="51"/>
    </row>
    <row r="73" spans="1:6" ht="18.95" customHeight="1">
      <c r="F73" s="51"/>
    </row>
    <row r="74" spans="1:6" ht="18.95" customHeight="1">
      <c r="F74" s="51"/>
    </row>
    <row r="75" spans="1:6" ht="18.95" customHeight="1">
      <c r="F75" s="51"/>
    </row>
    <row r="76" spans="1:6" ht="18.95" customHeight="1">
      <c r="F76" s="51"/>
    </row>
    <row r="77" spans="1:6" ht="18.95" customHeight="1">
      <c r="F77" s="51"/>
    </row>
    <row r="78" spans="1:6" ht="18.95" customHeight="1">
      <c r="F78" s="51"/>
    </row>
    <row r="79" spans="1:6" ht="18.95" customHeight="1">
      <c r="F79" s="51"/>
    </row>
    <row r="80" spans="1:6" ht="18.95" customHeight="1">
      <c r="F80" s="51"/>
    </row>
    <row r="81" spans="6:6" ht="18.95" customHeight="1">
      <c r="F81" s="51"/>
    </row>
    <row r="82" spans="6:6" ht="18.95" customHeight="1">
      <c r="F82" s="51"/>
    </row>
    <row r="83" spans="6:6" ht="18.95" customHeight="1">
      <c r="F83" s="51"/>
    </row>
  </sheetData>
  <mergeCells count="12">
    <mergeCell ref="A53:F53"/>
    <mergeCell ref="A62:F62"/>
    <mergeCell ref="A7:F7"/>
    <mergeCell ref="A18:F18"/>
    <mergeCell ref="A29:F29"/>
    <mergeCell ref="A40:F40"/>
    <mergeCell ref="A51:F51"/>
    <mergeCell ref="A1:F1"/>
    <mergeCell ref="A2:F2"/>
    <mergeCell ref="A3:F3"/>
    <mergeCell ref="A4:F4"/>
    <mergeCell ref="B6:D6"/>
  </mergeCells>
  <pageMargins left="0.61" right="0.23622047244094491" top="0.44" bottom="0.43" header="0.17" footer="0.11811023622047245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4"/>
  <sheetViews>
    <sheetView workbookViewId="0">
      <selection activeCell="C11" sqref="C11"/>
    </sheetView>
  </sheetViews>
  <sheetFormatPr defaultColWidth="9" defaultRowHeight="28.5" customHeight="1"/>
  <cols>
    <col min="1" max="1" width="5.25" style="44" bestFit="1" customWidth="1"/>
    <col min="2" max="2" width="42.375" style="99" bestFit="1" customWidth="1"/>
    <col min="3" max="3" width="36.375" style="48" customWidth="1"/>
    <col min="4" max="4" width="9.875" style="80" customWidth="1"/>
    <col min="5" max="5" width="8.25" style="44" customWidth="1"/>
    <col min="6" max="6" width="2.625" style="44" bestFit="1" customWidth="1"/>
    <col min="7" max="16384" width="9" style="44"/>
  </cols>
  <sheetData>
    <row r="1" spans="1:4" ht="23.25">
      <c r="A1" s="309" t="s">
        <v>246</v>
      </c>
      <c r="B1" s="309"/>
      <c r="C1" s="309"/>
      <c r="D1" s="309"/>
    </row>
    <row r="2" spans="1:4" ht="23.25">
      <c r="A2" s="309" t="s">
        <v>49</v>
      </c>
      <c r="B2" s="309"/>
      <c r="C2" s="309"/>
      <c r="D2" s="309"/>
    </row>
    <row r="3" spans="1:4" ht="38.25">
      <c r="A3" s="310" t="s">
        <v>12</v>
      </c>
      <c r="B3" s="310"/>
      <c r="C3" s="310"/>
      <c r="D3" s="310"/>
    </row>
    <row r="4" spans="1:4" ht="14.25" customHeight="1">
      <c r="A4" s="196"/>
      <c r="B4" s="196"/>
      <c r="C4" s="196"/>
      <c r="D4" s="196"/>
    </row>
    <row r="5" spans="1:4" ht="35.25" customHeight="1">
      <c r="A5" s="43" t="s">
        <v>3</v>
      </c>
      <c r="B5" s="95" t="s">
        <v>20</v>
      </c>
      <c r="C5" s="78" t="s">
        <v>35</v>
      </c>
      <c r="D5" s="38" t="s">
        <v>2</v>
      </c>
    </row>
    <row r="6" spans="1:4" ht="32.25" customHeight="1">
      <c r="A6" s="77">
        <v>1</v>
      </c>
      <c r="B6" s="243" t="s">
        <v>316</v>
      </c>
      <c r="C6" s="69"/>
      <c r="D6" s="130" t="str">
        <f>รับรายงานตัว!B8</f>
        <v>พ.ต.ต.</v>
      </c>
    </row>
    <row r="7" spans="1:4" ht="32.25" customHeight="1">
      <c r="A7" s="77">
        <v>2</v>
      </c>
      <c r="B7" s="243" t="s">
        <v>321</v>
      </c>
      <c r="C7" s="69"/>
      <c r="D7" s="130" t="str">
        <f>รับรายงานตัว!B9</f>
        <v>ร.ต.อ.</v>
      </c>
    </row>
    <row r="8" spans="1:4" ht="32.25" customHeight="1">
      <c r="A8" s="77">
        <v>3</v>
      </c>
      <c r="B8" s="243" t="s">
        <v>286</v>
      </c>
      <c r="C8" s="69"/>
      <c r="D8" s="130" t="str">
        <f>รับรายงานตัว!B10</f>
        <v>ร.ต.อ.</v>
      </c>
    </row>
    <row r="9" spans="1:4" ht="32.25" customHeight="1">
      <c r="A9" s="77">
        <v>4</v>
      </c>
      <c r="B9" s="243" t="s">
        <v>287</v>
      </c>
      <c r="C9" s="69"/>
      <c r="D9" s="130" t="str">
        <f>รับรายงานตัว!B11</f>
        <v>ร.ต.อ.</v>
      </c>
    </row>
    <row r="10" spans="1:4" ht="32.25" customHeight="1">
      <c r="A10" s="77">
        <v>5</v>
      </c>
      <c r="B10" s="243" t="s">
        <v>288</v>
      </c>
      <c r="C10" s="70"/>
      <c r="D10" s="130" t="str">
        <f>รับรายงานตัว!B12</f>
        <v>ร.ต.อ.</v>
      </c>
    </row>
    <row r="11" spans="1:4" ht="32.25" customHeight="1">
      <c r="A11" s="77">
        <v>6</v>
      </c>
      <c r="B11" s="243" t="s">
        <v>289</v>
      </c>
      <c r="C11" s="70"/>
      <c r="D11" s="130" t="str">
        <f>รับรายงานตัว!B13</f>
        <v>ร.ต.อ.</v>
      </c>
    </row>
    <row r="12" spans="1:4" ht="32.25" customHeight="1">
      <c r="A12" s="77">
        <v>7</v>
      </c>
      <c r="B12" s="243" t="s">
        <v>317</v>
      </c>
      <c r="C12" s="34"/>
      <c r="D12" s="130" t="str">
        <f>รับรายงานตัว!B14</f>
        <v>พ.ต.ท.</v>
      </c>
    </row>
    <row r="13" spans="1:4" ht="32.25" customHeight="1">
      <c r="A13" s="77">
        <v>8</v>
      </c>
      <c r="B13" s="243" t="s">
        <v>332</v>
      </c>
      <c r="C13" s="34"/>
      <c r="D13" s="130" t="str">
        <f>รับรายงานตัว!B15</f>
        <v>ร.ต.ท.</v>
      </c>
    </row>
    <row r="14" spans="1:4" ht="32.25" customHeight="1">
      <c r="A14" s="77">
        <v>9</v>
      </c>
      <c r="B14" s="243" t="s">
        <v>290</v>
      </c>
      <c r="C14" s="34"/>
      <c r="D14" s="130" t="str">
        <f>รับรายงานตัว!B16</f>
        <v>ร.ต.อ.</v>
      </c>
    </row>
    <row r="15" spans="1:4" ht="32.25" customHeight="1">
      <c r="A15" s="77">
        <v>10</v>
      </c>
      <c r="B15" s="243" t="s">
        <v>291</v>
      </c>
      <c r="C15" s="71"/>
      <c r="D15" s="130" t="str">
        <f>รับรายงานตัว!B17</f>
        <v>ร.ต.อ.</v>
      </c>
    </row>
    <row r="16" spans="1:4" ht="32.25" customHeight="1">
      <c r="A16" s="77">
        <v>11</v>
      </c>
      <c r="B16" s="243" t="s">
        <v>427</v>
      </c>
      <c r="C16" s="34"/>
      <c r="D16" s="130" t="str">
        <f>รับรายงานตัว!B19</f>
        <v>ร.ต.ท.</v>
      </c>
    </row>
    <row r="17" spans="1:4" ht="32.25" customHeight="1">
      <c r="A17" s="77">
        <v>12</v>
      </c>
      <c r="B17" s="243" t="s">
        <v>426</v>
      </c>
      <c r="C17" s="34"/>
      <c r="D17" s="130" t="str">
        <f>รับรายงานตัว!B20</f>
        <v>ร.ต.อ.</v>
      </c>
    </row>
    <row r="18" spans="1:4" ht="32.25" customHeight="1">
      <c r="A18" s="77">
        <v>13</v>
      </c>
      <c r="B18" s="243" t="s">
        <v>292</v>
      </c>
      <c r="C18" s="34"/>
      <c r="D18" s="130" t="str">
        <f>รับรายงานตัว!B21</f>
        <v>ร.ต.อ.</v>
      </c>
    </row>
    <row r="19" spans="1:4" ht="32.25" customHeight="1">
      <c r="A19" s="77">
        <v>14</v>
      </c>
      <c r="B19" s="243" t="s">
        <v>293</v>
      </c>
      <c r="C19" s="34"/>
      <c r="D19" s="130" t="str">
        <f>รับรายงานตัว!B22</f>
        <v>ร.ต.อ.</v>
      </c>
    </row>
    <row r="20" spans="1:4" ht="32.25" customHeight="1">
      <c r="A20" s="77">
        <v>15</v>
      </c>
      <c r="B20" s="243" t="s">
        <v>294</v>
      </c>
      <c r="C20" s="34"/>
      <c r="D20" s="130" t="str">
        <f>รับรายงานตัว!B23</f>
        <v>ร.ต.อ.</v>
      </c>
    </row>
    <row r="21" spans="1:4" ht="32.25" customHeight="1">
      <c r="A21" s="77">
        <v>16</v>
      </c>
      <c r="B21" s="243" t="s">
        <v>322</v>
      </c>
      <c r="C21" s="34"/>
      <c r="D21" s="130" t="str">
        <f>รับรายงานตัว!B24</f>
        <v>ร.ต.อ.</v>
      </c>
    </row>
    <row r="22" spans="1:4" ht="32.25" customHeight="1">
      <c r="A22" s="77">
        <v>17</v>
      </c>
      <c r="B22" s="243" t="s">
        <v>323</v>
      </c>
      <c r="C22" s="34"/>
      <c r="D22" s="130" t="str">
        <f>รับรายงานตัว!B25</f>
        <v>พ.ต.ท.</v>
      </c>
    </row>
    <row r="23" spans="1:4" ht="32.25" customHeight="1">
      <c r="A23" s="77">
        <v>18</v>
      </c>
      <c r="B23" s="243" t="s">
        <v>295</v>
      </c>
      <c r="C23" s="34"/>
      <c r="D23" s="130" t="str">
        <f>รับรายงานตัว!B26</f>
        <v>ร.ต.อ.</v>
      </c>
    </row>
    <row r="24" spans="1:4" ht="32.25" customHeight="1">
      <c r="A24" s="77">
        <v>19</v>
      </c>
      <c r="B24" s="243" t="s">
        <v>296</v>
      </c>
      <c r="C24" s="34"/>
      <c r="D24" s="130" t="str">
        <f>รับรายงานตัว!B27</f>
        <v>ร.ต.อ.</v>
      </c>
    </row>
    <row r="25" spans="1:4" ht="32.25" customHeight="1">
      <c r="A25" s="77">
        <v>20</v>
      </c>
      <c r="B25" s="243" t="s">
        <v>297</v>
      </c>
      <c r="C25" s="34"/>
      <c r="D25" s="130" t="str">
        <f>รับรายงานตัว!B28</f>
        <v>ร.ต.อ.</v>
      </c>
    </row>
    <row r="26" spans="1:4" ht="32.25" customHeight="1">
      <c r="A26" s="77">
        <v>21</v>
      </c>
      <c r="B26" s="243" t="s">
        <v>318</v>
      </c>
      <c r="C26" s="42"/>
      <c r="D26" s="130" t="str">
        <f>รับรายงานตัว!B30</f>
        <v>พ.ต.ท.</v>
      </c>
    </row>
    <row r="27" spans="1:4" ht="32.25" customHeight="1">
      <c r="A27" s="77">
        <v>22</v>
      </c>
      <c r="B27" s="243" t="s">
        <v>324</v>
      </c>
      <c r="C27" s="71"/>
      <c r="D27" s="130" t="str">
        <f>รับรายงานตัว!B31</f>
        <v>พ.ต.ต.</v>
      </c>
    </row>
    <row r="28" spans="1:4" ht="32.25" customHeight="1">
      <c r="A28" s="77">
        <v>23</v>
      </c>
      <c r="B28" s="243" t="s">
        <v>298</v>
      </c>
      <c r="C28" s="34"/>
      <c r="D28" s="130" t="str">
        <f>รับรายงานตัว!B32</f>
        <v>ร.ต.อ.</v>
      </c>
    </row>
    <row r="29" spans="1:4" ht="32.25" customHeight="1">
      <c r="A29" s="77">
        <v>24</v>
      </c>
      <c r="B29" s="243" t="s">
        <v>299</v>
      </c>
      <c r="C29" s="72"/>
      <c r="D29" s="130" t="str">
        <f>รับรายงานตัว!B33</f>
        <v>ร.ต.อ.</v>
      </c>
    </row>
    <row r="30" spans="1:4" ht="32.25" customHeight="1">
      <c r="A30" s="77">
        <v>25</v>
      </c>
      <c r="B30" s="243" t="s">
        <v>300</v>
      </c>
      <c r="C30" s="34"/>
      <c r="D30" s="130" t="str">
        <f>รับรายงานตัว!B34</f>
        <v>ร.ต.อ.</v>
      </c>
    </row>
    <row r="31" spans="1:4" ht="32.25" customHeight="1">
      <c r="A31" s="77">
        <v>26</v>
      </c>
      <c r="B31" s="243" t="s">
        <v>301</v>
      </c>
      <c r="C31" s="72"/>
      <c r="D31" s="130" t="str">
        <f>รับรายงานตัว!B35</f>
        <v>ร.ต.อ.</v>
      </c>
    </row>
    <row r="32" spans="1:4" ht="32.25" customHeight="1">
      <c r="A32" s="77">
        <v>27</v>
      </c>
      <c r="B32" s="243" t="s">
        <v>302</v>
      </c>
      <c r="C32" s="34"/>
      <c r="D32" s="130" t="str">
        <f>รับรายงานตัว!B36</f>
        <v>ร.ต.อ.</v>
      </c>
    </row>
    <row r="33" spans="1:7" ht="32.25" customHeight="1">
      <c r="A33" s="77">
        <v>28</v>
      </c>
      <c r="B33" s="243" t="s">
        <v>303</v>
      </c>
      <c r="C33" s="34"/>
      <c r="D33" s="130" t="str">
        <f>รับรายงานตัว!B37</f>
        <v>ร.ต.อ.</v>
      </c>
    </row>
    <row r="34" spans="1:7" ht="32.25" customHeight="1">
      <c r="A34" s="77">
        <v>29</v>
      </c>
      <c r="B34" s="243" t="s">
        <v>304</v>
      </c>
      <c r="C34" s="72"/>
      <c r="D34" s="130" t="str">
        <f>รับรายงานตัว!B38</f>
        <v>ร.ต.อ.</v>
      </c>
    </row>
    <row r="35" spans="1:7" ht="32.25" customHeight="1">
      <c r="A35" s="77">
        <v>30</v>
      </c>
      <c r="B35" s="243" t="s">
        <v>305</v>
      </c>
      <c r="C35" s="34"/>
      <c r="D35" s="130" t="str">
        <f>รับรายงานตัว!B39</f>
        <v>ร.ต.อ.</v>
      </c>
    </row>
    <row r="36" spans="1:7" ht="32.25" customHeight="1">
      <c r="A36" s="77">
        <v>31</v>
      </c>
      <c r="B36" s="243" t="s">
        <v>319</v>
      </c>
      <c r="C36" s="72"/>
      <c r="D36" s="130" t="str">
        <f>รับรายงานตัว!B41</f>
        <v>พ.ต.ท.</v>
      </c>
    </row>
    <row r="37" spans="1:7" s="45" customFormat="1" ht="32.25" customHeight="1">
      <c r="A37" s="77">
        <v>32</v>
      </c>
      <c r="B37" s="243" t="s">
        <v>320</v>
      </c>
      <c r="C37" s="34"/>
      <c r="D37" s="130" t="str">
        <f>รับรายงานตัว!B42</f>
        <v>พ.ต.ท.</v>
      </c>
      <c r="E37" s="44"/>
      <c r="F37" s="44"/>
      <c r="G37" s="44"/>
    </row>
    <row r="38" spans="1:7" ht="32.25" customHeight="1">
      <c r="A38" s="77">
        <v>33</v>
      </c>
      <c r="B38" s="243" t="s">
        <v>428</v>
      </c>
      <c r="C38" s="73"/>
      <c r="D38" s="130" t="str">
        <f>รับรายงานตัว!B43</f>
        <v>ร.ต.อ.</v>
      </c>
    </row>
    <row r="39" spans="1:7" ht="32.25" customHeight="1">
      <c r="A39" s="77">
        <v>34</v>
      </c>
      <c r="B39" s="243" t="s">
        <v>306</v>
      </c>
      <c r="C39" s="73"/>
      <c r="D39" s="130" t="str">
        <f>รับรายงานตัว!B44</f>
        <v>ร.ต.อ.</v>
      </c>
    </row>
    <row r="40" spans="1:7" ht="32.25" customHeight="1">
      <c r="A40" s="77">
        <v>35</v>
      </c>
      <c r="B40" s="243" t="s">
        <v>325</v>
      </c>
      <c r="C40" s="34"/>
      <c r="D40" s="130" t="str">
        <f>รับรายงานตัว!B45</f>
        <v>ร.ต.อ.</v>
      </c>
    </row>
    <row r="41" spans="1:7" ht="32.25" customHeight="1">
      <c r="A41" s="77">
        <v>36</v>
      </c>
      <c r="B41" s="243" t="s">
        <v>307</v>
      </c>
      <c r="C41" s="73"/>
      <c r="D41" s="130" t="str">
        <f>รับรายงานตัว!B46</f>
        <v>ร.ต.อ.</v>
      </c>
    </row>
    <row r="42" spans="1:7" ht="32.25" customHeight="1">
      <c r="A42" s="77">
        <v>37</v>
      </c>
      <c r="B42" s="243" t="s">
        <v>308</v>
      </c>
      <c r="C42" s="34"/>
      <c r="D42" s="130" t="str">
        <f>รับรายงานตัว!B47</f>
        <v>ร.ต.อ.</v>
      </c>
    </row>
    <row r="43" spans="1:7" ht="32.25" customHeight="1">
      <c r="A43" s="77">
        <v>38</v>
      </c>
      <c r="B43" s="243" t="s">
        <v>309</v>
      </c>
      <c r="C43" s="34"/>
      <c r="D43" s="130" t="str">
        <f>รับรายงานตัว!B48</f>
        <v>ร.ต.อ.</v>
      </c>
    </row>
    <row r="44" spans="1:7" ht="32.25" customHeight="1">
      <c r="A44" s="77">
        <v>39</v>
      </c>
      <c r="B44" s="243" t="s">
        <v>310</v>
      </c>
      <c r="C44" s="74"/>
      <c r="D44" s="130" t="str">
        <f>รับรายงานตัว!B49</f>
        <v>ร.ต.อ.</v>
      </c>
    </row>
    <row r="45" spans="1:7" ht="32.25" customHeight="1">
      <c r="A45" s="77">
        <v>40</v>
      </c>
      <c r="B45" s="243" t="s">
        <v>326</v>
      </c>
      <c r="C45" s="75"/>
      <c r="D45" s="130" t="str">
        <f>รับรายงานตัว!B50</f>
        <v>ร.ต.ต.</v>
      </c>
    </row>
    <row r="46" spans="1:7" ht="32.25" customHeight="1">
      <c r="A46" s="77">
        <v>41</v>
      </c>
      <c r="B46" s="243" t="s">
        <v>331</v>
      </c>
      <c r="C46" s="76"/>
      <c r="D46" s="130" t="str">
        <f>รับรายงานตัว!B52</f>
        <v>ร.ต.อ.</v>
      </c>
    </row>
    <row r="47" spans="1:7" ht="32.25" customHeight="1">
      <c r="A47" s="77">
        <v>42</v>
      </c>
      <c r="B47" s="243" t="s">
        <v>311</v>
      </c>
      <c r="C47" s="76"/>
      <c r="D47" s="130" t="str">
        <f>รับรายงานตัว!B54</f>
        <v>ร.ต.อ.</v>
      </c>
    </row>
    <row r="48" spans="1:7" ht="32.25" customHeight="1">
      <c r="A48" s="77">
        <v>43</v>
      </c>
      <c r="B48" s="243" t="s">
        <v>327</v>
      </c>
      <c r="C48" s="76"/>
      <c r="D48" s="130" t="str">
        <f>รับรายงานตัว!B55</f>
        <v>ร.ต.อ.</v>
      </c>
    </row>
    <row r="49" spans="1:4" ht="32.25" customHeight="1">
      <c r="A49" s="77">
        <v>44</v>
      </c>
      <c r="B49" s="243" t="s">
        <v>328</v>
      </c>
      <c r="C49" s="76"/>
      <c r="D49" s="130" t="str">
        <f>รับรายงานตัว!B56</f>
        <v>ร.ต.อ.</v>
      </c>
    </row>
    <row r="50" spans="1:4" ht="32.25" customHeight="1">
      <c r="A50" s="77">
        <v>45</v>
      </c>
      <c r="B50" s="243" t="s">
        <v>329</v>
      </c>
      <c r="C50" s="76"/>
      <c r="D50" s="130" t="str">
        <f>รับรายงานตัว!B57</f>
        <v>ร.ต.อ.</v>
      </c>
    </row>
    <row r="51" spans="1:4" ht="32.25" customHeight="1">
      <c r="A51" s="77">
        <v>46</v>
      </c>
      <c r="B51" s="243" t="s">
        <v>312</v>
      </c>
      <c r="C51" s="76"/>
      <c r="D51" s="130" t="str">
        <f>รับรายงานตัว!B58</f>
        <v>ร.ต.อ.</v>
      </c>
    </row>
    <row r="52" spans="1:4" ht="32.25" customHeight="1">
      <c r="A52" s="77">
        <v>47</v>
      </c>
      <c r="B52" s="243" t="s">
        <v>330</v>
      </c>
      <c r="C52" s="76"/>
      <c r="D52" s="130" t="str">
        <f>รับรายงานตัว!B59</f>
        <v>ร.ต.อ.</v>
      </c>
    </row>
    <row r="53" spans="1:4" ht="32.25" customHeight="1">
      <c r="A53" s="77">
        <v>48</v>
      </c>
      <c r="B53" s="243" t="s">
        <v>313</v>
      </c>
      <c r="C53" s="76"/>
      <c r="D53" s="130" t="str">
        <f>รับรายงานตัว!B60</f>
        <v>ร.ต.อ.</v>
      </c>
    </row>
    <row r="54" spans="1:4" ht="32.25" customHeight="1">
      <c r="A54" s="77">
        <v>49</v>
      </c>
      <c r="B54" s="243" t="s">
        <v>314</v>
      </c>
      <c r="C54" s="76"/>
      <c r="D54" s="130" t="str">
        <f>รับรายงานตัว!B61</f>
        <v>ร.ต.อ.</v>
      </c>
    </row>
    <row r="55" spans="1:4" ht="32.25" customHeight="1">
      <c r="A55" s="77">
        <v>50</v>
      </c>
      <c r="B55" s="243" t="s">
        <v>315</v>
      </c>
      <c r="C55" s="76"/>
      <c r="D55" s="130" t="str">
        <f>รับรายงานตัว!B63</f>
        <v>ร.ต.อ.</v>
      </c>
    </row>
    <row r="56" spans="1:4" ht="28.5" customHeight="1">
      <c r="A56" s="3"/>
      <c r="B56" s="96"/>
      <c r="C56" s="46"/>
    </row>
    <row r="57" spans="1:4" ht="28.5" customHeight="1">
      <c r="A57" s="3"/>
      <c r="B57" s="96"/>
      <c r="C57" s="46"/>
    </row>
    <row r="58" spans="1:4" ht="28.5" customHeight="1">
      <c r="A58" s="3"/>
      <c r="B58" s="96"/>
      <c r="C58" s="46"/>
    </row>
    <row r="59" spans="1:4" ht="28.5" customHeight="1">
      <c r="A59" s="3"/>
      <c r="B59" s="96"/>
      <c r="C59" s="46"/>
    </row>
    <row r="60" spans="1:4" ht="28.5" customHeight="1">
      <c r="A60" s="68"/>
      <c r="B60" s="97"/>
      <c r="C60" s="46"/>
    </row>
    <row r="61" spans="1:4" ht="28.5" customHeight="1">
      <c r="A61" s="3"/>
      <c r="B61" s="96"/>
      <c r="C61" s="46"/>
    </row>
    <row r="62" spans="1:4" ht="28.5" customHeight="1">
      <c r="A62" s="3"/>
      <c r="B62" s="96"/>
      <c r="C62" s="46"/>
    </row>
    <row r="63" spans="1:4" ht="28.5" customHeight="1">
      <c r="A63" s="3"/>
      <c r="B63" s="96"/>
      <c r="C63" s="46"/>
    </row>
    <row r="64" spans="1:4" ht="28.5" customHeight="1">
      <c r="A64" s="3"/>
      <c r="B64" s="96"/>
      <c r="C64" s="46"/>
    </row>
    <row r="65" spans="1:3" ht="28.5" customHeight="1">
      <c r="A65" s="3"/>
      <c r="B65" s="96"/>
      <c r="C65" s="46"/>
    </row>
    <row r="66" spans="1:3" ht="28.5" customHeight="1">
      <c r="A66" s="3"/>
      <c r="B66" s="96"/>
      <c r="C66" s="46"/>
    </row>
    <row r="67" spans="1:3" ht="28.5" customHeight="1">
      <c r="A67" s="3"/>
      <c r="B67" s="96"/>
      <c r="C67" s="46"/>
    </row>
    <row r="68" spans="1:3" ht="28.5" customHeight="1">
      <c r="A68" s="3"/>
      <c r="B68" s="96"/>
      <c r="C68" s="46"/>
    </row>
    <row r="69" spans="1:3" ht="28.5" customHeight="1">
      <c r="A69" s="47"/>
      <c r="B69" s="98"/>
      <c r="C69" s="46"/>
    </row>
    <row r="70" spans="1:3" ht="28.5" customHeight="1">
      <c r="A70" s="47"/>
      <c r="B70" s="98"/>
      <c r="C70" s="46"/>
    </row>
    <row r="71" spans="1:3" ht="28.5" customHeight="1">
      <c r="A71" s="47"/>
      <c r="B71" s="98"/>
    </row>
    <row r="72" spans="1:3" ht="28.5" customHeight="1">
      <c r="A72" s="47"/>
      <c r="B72" s="98"/>
    </row>
    <row r="73" spans="1:3" ht="28.5" customHeight="1">
      <c r="A73" s="47"/>
      <c r="B73" s="98"/>
    </row>
    <row r="74" spans="1:3" ht="28.5" customHeight="1">
      <c r="A74" s="47"/>
      <c r="B74" s="98"/>
    </row>
  </sheetData>
  <mergeCells count="3">
    <mergeCell ref="A1:D1"/>
    <mergeCell ref="A3:D3"/>
    <mergeCell ref="A2:D2"/>
  </mergeCells>
  <pageMargins left="0.15748031496062992" right="0.11811023622047245" top="0.36" bottom="0.56000000000000005" header="0.15748031496062992" footer="0.1574803149606299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>
      <selection activeCell="A2" sqref="A2:B2"/>
    </sheetView>
  </sheetViews>
  <sheetFormatPr defaultRowHeight="33.75" customHeight="1"/>
  <cols>
    <col min="1" max="1" width="8.875" style="58" bestFit="1" customWidth="1"/>
    <col min="2" max="2" width="72.375" style="58" customWidth="1"/>
    <col min="3" max="16384" width="9" style="58"/>
  </cols>
  <sheetData>
    <row r="1" spans="1:6" ht="27.75" customHeight="1">
      <c r="A1" s="311" t="s">
        <v>36</v>
      </c>
      <c r="B1" s="311"/>
      <c r="C1" s="118"/>
      <c r="D1" s="57"/>
      <c r="E1" s="57"/>
      <c r="F1" s="57"/>
    </row>
    <row r="2" spans="1:6" ht="27.75" customHeight="1">
      <c r="A2" s="311" t="s">
        <v>39</v>
      </c>
      <c r="B2" s="311"/>
      <c r="C2" s="119"/>
      <c r="D2" s="57"/>
      <c r="E2" s="57"/>
      <c r="F2" s="57"/>
    </row>
    <row r="3" spans="1:6" ht="6.75" customHeight="1">
      <c r="A3" s="120"/>
      <c r="B3" s="120"/>
      <c r="C3" s="119"/>
      <c r="D3" s="57"/>
      <c r="E3" s="57"/>
      <c r="F3" s="57"/>
    </row>
    <row r="4" spans="1:6" s="59" customFormat="1" ht="23.25" customHeight="1">
      <c r="A4" s="121" t="s">
        <v>3</v>
      </c>
      <c r="B4" s="122" t="s">
        <v>25</v>
      </c>
    </row>
    <row r="5" spans="1:6" s="59" customFormat="1" ht="29.25">
      <c r="A5" s="77">
        <v>1</v>
      </c>
      <c r="B5" s="79"/>
    </row>
    <row r="6" spans="1:6" s="59" customFormat="1" ht="29.25">
      <c r="A6" s="77">
        <v>2</v>
      </c>
      <c r="B6" s="79"/>
    </row>
    <row r="7" spans="1:6" s="59" customFormat="1" ht="29.25">
      <c r="A7" s="77">
        <v>3</v>
      </c>
      <c r="B7" s="79"/>
    </row>
    <row r="8" spans="1:6" s="59" customFormat="1" ht="29.25">
      <c r="A8" s="77">
        <v>4</v>
      </c>
      <c r="B8" s="79"/>
    </row>
    <row r="9" spans="1:6" s="59" customFormat="1" ht="29.25">
      <c r="A9" s="77">
        <v>5</v>
      </c>
      <c r="B9" s="79"/>
    </row>
    <row r="10" spans="1:6" s="59" customFormat="1" ht="29.25">
      <c r="A10" s="77">
        <v>6</v>
      </c>
      <c r="B10" s="79"/>
    </row>
    <row r="11" spans="1:6" s="59" customFormat="1" ht="29.25">
      <c r="A11" s="77">
        <v>7</v>
      </c>
      <c r="B11" s="79"/>
    </row>
    <row r="12" spans="1:6" s="59" customFormat="1" ht="29.25">
      <c r="A12" s="77">
        <v>8</v>
      </c>
      <c r="B12" s="79"/>
    </row>
    <row r="13" spans="1:6" s="59" customFormat="1" ht="29.25">
      <c r="A13" s="77">
        <v>9</v>
      </c>
      <c r="B13" s="79"/>
    </row>
    <row r="14" spans="1:6" s="59" customFormat="1" ht="29.25">
      <c r="A14" s="77">
        <v>10</v>
      </c>
      <c r="B14" s="79"/>
    </row>
    <row r="15" spans="1:6" s="59" customFormat="1" ht="29.25">
      <c r="A15" s="77">
        <v>11</v>
      </c>
      <c r="B15" s="79"/>
    </row>
    <row r="16" spans="1:6" s="59" customFormat="1" ht="29.25">
      <c r="A16" s="77">
        <v>12</v>
      </c>
      <c r="B16" s="79"/>
    </row>
    <row r="17" spans="1:2" s="59" customFormat="1" ht="29.25">
      <c r="A17" s="77">
        <v>13</v>
      </c>
      <c r="B17" s="79"/>
    </row>
    <row r="18" spans="1:2" s="59" customFormat="1" ht="29.25">
      <c r="A18" s="77">
        <v>14</v>
      </c>
      <c r="B18" s="79"/>
    </row>
    <row r="19" spans="1:2" s="59" customFormat="1" ht="29.25">
      <c r="A19" s="77">
        <v>15</v>
      </c>
      <c r="B19" s="79"/>
    </row>
    <row r="20" spans="1:2" s="59" customFormat="1" ht="29.25">
      <c r="A20" s="77">
        <v>16</v>
      </c>
      <c r="B20" s="79"/>
    </row>
    <row r="21" spans="1:2" s="59" customFormat="1" ht="29.25">
      <c r="A21" s="77">
        <v>17</v>
      </c>
      <c r="B21" s="79"/>
    </row>
    <row r="22" spans="1:2" s="59" customFormat="1" ht="29.25">
      <c r="A22" s="77">
        <v>18</v>
      </c>
      <c r="B22" s="79"/>
    </row>
    <row r="23" spans="1:2" s="59" customFormat="1" ht="29.25">
      <c r="A23" s="77">
        <v>19</v>
      </c>
      <c r="B23" s="79"/>
    </row>
    <row r="24" spans="1:2" s="59" customFormat="1" ht="29.25">
      <c r="A24" s="77">
        <v>20</v>
      </c>
      <c r="B24" s="79"/>
    </row>
    <row r="25" spans="1:2" s="59" customFormat="1" ht="29.25">
      <c r="A25" s="77">
        <v>21</v>
      </c>
      <c r="B25" s="79"/>
    </row>
    <row r="26" spans="1:2" s="59" customFormat="1" ht="29.25">
      <c r="A26" s="77">
        <v>22</v>
      </c>
      <c r="B26" s="79"/>
    </row>
    <row r="27" spans="1:2" s="59" customFormat="1" ht="29.25">
      <c r="A27" s="77">
        <v>23</v>
      </c>
      <c r="B27" s="79"/>
    </row>
    <row r="28" spans="1:2" s="59" customFormat="1" ht="29.25">
      <c r="A28" s="77">
        <v>24</v>
      </c>
      <c r="B28" s="79"/>
    </row>
    <row r="29" spans="1:2" s="59" customFormat="1" ht="29.25">
      <c r="A29" s="77">
        <v>25</v>
      </c>
      <c r="B29" s="79"/>
    </row>
    <row r="30" spans="1:2" s="59" customFormat="1" ht="29.25">
      <c r="A30" s="77">
        <v>26</v>
      </c>
      <c r="B30" s="79"/>
    </row>
    <row r="31" spans="1:2" s="59" customFormat="1" ht="29.25">
      <c r="A31" s="77">
        <v>27</v>
      </c>
      <c r="B31" s="79"/>
    </row>
    <row r="32" spans="1:2" s="59" customFormat="1" ht="29.25">
      <c r="A32" s="77">
        <v>28</v>
      </c>
      <c r="B32" s="79"/>
    </row>
    <row r="33" spans="1:2" s="59" customFormat="1" ht="29.25">
      <c r="A33" s="77">
        <v>29</v>
      </c>
      <c r="B33" s="79"/>
    </row>
    <row r="34" spans="1:2" s="59" customFormat="1" ht="29.25">
      <c r="A34" s="77">
        <v>30</v>
      </c>
      <c r="B34" s="79"/>
    </row>
    <row r="35" spans="1:2" s="59" customFormat="1" ht="29.25">
      <c r="A35" s="77">
        <v>31</v>
      </c>
      <c r="B35" s="79"/>
    </row>
    <row r="36" spans="1:2" s="59" customFormat="1" ht="29.25">
      <c r="A36" s="77">
        <v>32</v>
      </c>
      <c r="B36" s="79"/>
    </row>
    <row r="37" spans="1:2" s="59" customFormat="1" ht="29.25">
      <c r="A37" s="77">
        <v>33</v>
      </c>
      <c r="B37" s="79"/>
    </row>
    <row r="38" spans="1:2" s="59" customFormat="1" ht="29.25">
      <c r="A38" s="77">
        <v>34</v>
      </c>
      <c r="B38" s="79"/>
    </row>
    <row r="39" spans="1:2" s="59" customFormat="1" ht="29.25">
      <c r="A39" s="77">
        <v>35</v>
      </c>
      <c r="B39" s="79"/>
    </row>
    <row r="40" spans="1:2" s="59" customFormat="1" ht="29.25">
      <c r="A40" s="77">
        <v>36</v>
      </c>
      <c r="B40" s="79"/>
    </row>
    <row r="41" spans="1:2" s="59" customFormat="1" ht="29.25">
      <c r="A41" s="77">
        <v>37</v>
      </c>
      <c r="B41" s="79"/>
    </row>
    <row r="42" spans="1:2" s="59" customFormat="1" ht="29.25">
      <c r="A42" s="77">
        <v>38</v>
      </c>
      <c r="B42" s="79"/>
    </row>
    <row r="43" spans="1:2" s="59" customFormat="1" ht="29.25">
      <c r="A43" s="77">
        <v>39</v>
      </c>
      <c r="B43" s="79"/>
    </row>
    <row r="44" spans="1:2" s="59" customFormat="1" ht="29.25">
      <c r="A44" s="77">
        <v>40</v>
      </c>
      <c r="B44" s="79"/>
    </row>
    <row r="45" spans="1:2" ht="29.25">
      <c r="A45" s="77">
        <v>41</v>
      </c>
      <c r="B45" s="79"/>
    </row>
    <row r="46" spans="1:2" ht="29.25">
      <c r="A46" s="77">
        <v>42</v>
      </c>
      <c r="B46" s="79"/>
    </row>
    <row r="47" spans="1:2" ht="29.25">
      <c r="A47" s="77">
        <v>43</v>
      </c>
      <c r="B47" s="79"/>
    </row>
    <row r="48" spans="1:2" ht="29.25">
      <c r="A48" s="77">
        <v>44</v>
      </c>
      <c r="B48" s="79"/>
    </row>
    <row r="49" spans="1:2" ht="29.25">
      <c r="A49" s="77">
        <v>45</v>
      </c>
      <c r="B49" s="79"/>
    </row>
    <row r="50" spans="1:2" ht="29.25">
      <c r="A50" s="77">
        <v>46</v>
      </c>
      <c r="B50" s="79"/>
    </row>
    <row r="51" spans="1:2" ht="29.25">
      <c r="A51" s="77">
        <v>47</v>
      </c>
      <c r="B51" s="79"/>
    </row>
    <row r="52" spans="1:2" ht="29.25">
      <c r="A52" s="77">
        <v>48</v>
      </c>
      <c r="B52" s="79"/>
    </row>
    <row r="53" spans="1:2" ht="29.25">
      <c r="A53" s="77">
        <v>49</v>
      </c>
      <c r="B53" s="79"/>
    </row>
    <row r="54" spans="1:2" ht="29.25">
      <c r="A54" s="77">
        <v>50</v>
      </c>
      <c r="B54" s="79"/>
    </row>
  </sheetData>
  <mergeCells count="2">
    <mergeCell ref="A1:B1"/>
    <mergeCell ref="A2:B2"/>
  </mergeCells>
  <pageMargins left="0.66" right="0.19685039370078741" top="0.23" bottom="0.19685039370078741" header="0.23" footer="0.1181102362204724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3"/>
  <sheetViews>
    <sheetView topLeftCell="A41" zoomScale="130" zoomScaleNormal="130" workbookViewId="0">
      <selection activeCell="B54" sqref="B54"/>
    </sheetView>
  </sheetViews>
  <sheetFormatPr defaultColWidth="9" defaultRowHeight="24.75"/>
  <cols>
    <col min="1" max="1" width="6.5" style="1" customWidth="1"/>
    <col min="2" max="2" width="38.5" style="1" customWidth="1"/>
    <col min="3" max="3" width="36.5" style="1" bestFit="1" customWidth="1"/>
    <col min="4" max="4" width="8.25" style="2" customWidth="1"/>
    <col min="5" max="5" width="14.25" style="1" hidden="1" customWidth="1"/>
    <col min="6" max="6" width="9.625" style="2" hidden="1" customWidth="1"/>
    <col min="7" max="8" width="0" style="1" hidden="1" customWidth="1"/>
    <col min="9" max="9" width="16" style="115" bestFit="1" customWidth="1"/>
    <col min="10" max="11" width="2.625" style="9" bestFit="1" customWidth="1"/>
    <col min="12" max="12" width="9" style="9"/>
    <col min="13" max="16384" width="9" style="1"/>
  </cols>
  <sheetData>
    <row r="1" spans="1:13" ht="20.25">
      <c r="A1" s="314" t="s">
        <v>48</v>
      </c>
      <c r="B1" s="314"/>
      <c r="C1" s="314"/>
      <c r="D1" s="314"/>
      <c r="E1" s="314"/>
      <c r="F1" s="314"/>
      <c r="G1" s="314"/>
      <c r="H1" s="314"/>
      <c r="I1" s="314"/>
    </row>
    <row r="2" spans="1:13" ht="38.25">
      <c r="A2" s="315" t="s">
        <v>14</v>
      </c>
      <c r="B2" s="315"/>
      <c r="C2" s="315"/>
      <c r="D2" s="315"/>
      <c r="E2" s="315"/>
      <c r="F2" s="315"/>
      <c r="G2" s="315"/>
      <c r="H2" s="315"/>
      <c r="I2" s="315"/>
    </row>
    <row r="3" spans="1:13">
      <c r="A3" s="38" t="s">
        <v>3</v>
      </c>
      <c r="B3" s="56" t="s">
        <v>13</v>
      </c>
      <c r="C3" s="38" t="s">
        <v>1</v>
      </c>
      <c r="D3" s="38" t="s">
        <v>4</v>
      </c>
      <c r="E3" s="39"/>
      <c r="F3" s="40"/>
      <c r="G3" s="41"/>
      <c r="H3" s="41"/>
      <c r="I3" s="114" t="s">
        <v>33</v>
      </c>
      <c r="J3" s="312" t="s">
        <v>11</v>
      </c>
      <c r="K3" s="313"/>
      <c r="L3" s="313"/>
    </row>
    <row r="4" spans="1:13" ht="20.25">
      <c r="A4" s="81">
        <v>1</v>
      </c>
      <c r="B4" s="256" t="s">
        <v>377</v>
      </c>
      <c r="C4" s="256" t="s">
        <v>192</v>
      </c>
      <c r="D4" s="28"/>
      <c r="E4" s="6"/>
      <c r="F4" s="6"/>
      <c r="G4" s="6"/>
      <c r="H4" s="6"/>
      <c r="I4" s="129"/>
      <c r="J4" s="9" t="s">
        <v>9</v>
      </c>
      <c r="K4" s="9" t="s">
        <v>56</v>
      </c>
      <c r="L4" s="9" t="str">
        <f t="shared" ref="L4:L43" si="0">J4&amp;K4</f>
        <v>Rh.B</v>
      </c>
      <c r="M4" s="67"/>
    </row>
    <row r="5" spans="1:13" ht="20.25">
      <c r="A5" s="82">
        <v>2</v>
      </c>
      <c r="B5" s="256" t="s">
        <v>378</v>
      </c>
      <c r="C5" s="256" t="s">
        <v>193</v>
      </c>
      <c r="D5" s="29"/>
      <c r="E5" s="12"/>
      <c r="F5" s="12"/>
      <c r="G5" s="12"/>
      <c r="H5" s="12"/>
      <c r="I5" s="129"/>
      <c r="J5" s="9" t="s">
        <v>9</v>
      </c>
      <c r="K5" s="9" t="s">
        <v>55</v>
      </c>
      <c r="L5" s="9" t="str">
        <f t="shared" si="0"/>
        <v>Rh.O</v>
      </c>
      <c r="M5" s="67"/>
    </row>
    <row r="6" spans="1:13" ht="20.25">
      <c r="A6" s="81">
        <v>3</v>
      </c>
      <c r="B6" s="256" t="s">
        <v>379</v>
      </c>
      <c r="C6" s="256" t="s">
        <v>194</v>
      </c>
      <c r="D6" s="28"/>
      <c r="E6" s="6"/>
      <c r="F6" s="6"/>
      <c r="G6" s="6"/>
      <c r="H6" s="6"/>
      <c r="I6" s="129"/>
      <c r="J6" s="9" t="s">
        <v>9</v>
      </c>
      <c r="K6" s="9" t="s">
        <v>55</v>
      </c>
      <c r="L6" s="9" t="str">
        <f t="shared" si="0"/>
        <v>Rh.O</v>
      </c>
      <c r="M6" s="67"/>
    </row>
    <row r="7" spans="1:13" s="2" customFormat="1" ht="20.25">
      <c r="A7" s="82">
        <v>4</v>
      </c>
      <c r="B7" s="256" t="s">
        <v>380</v>
      </c>
      <c r="C7" s="256" t="s">
        <v>195</v>
      </c>
      <c r="D7" s="29"/>
      <c r="E7" s="12"/>
      <c r="F7" s="12"/>
      <c r="G7" s="12"/>
      <c r="H7" s="12"/>
      <c r="I7" s="129"/>
      <c r="J7" s="9" t="s">
        <v>9</v>
      </c>
      <c r="K7" s="9" t="s">
        <v>56</v>
      </c>
      <c r="L7" s="9" t="str">
        <f t="shared" si="0"/>
        <v>Rh.B</v>
      </c>
      <c r="M7" s="67"/>
    </row>
    <row r="8" spans="1:13" ht="20.25">
      <c r="A8" s="81">
        <v>5</v>
      </c>
      <c r="B8" s="256" t="s">
        <v>381</v>
      </c>
      <c r="C8" s="256" t="s">
        <v>196</v>
      </c>
      <c r="D8" s="30"/>
      <c r="E8" s="11"/>
      <c r="F8" s="11"/>
      <c r="G8" s="11"/>
      <c r="H8" s="11"/>
      <c r="I8" s="129"/>
      <c r="J8" s="9" t="s">
        <v>9</v>
      </c>
      <c r="K8" s="9" t="s">
        <v>56</v>
      </c>
      <c r="L8" s="9" t="str">
        <f t="shared" si="0"/>
        <v>Rh.B</v>
      </c>
      <c r="M8" s="67"/>
    </row>
    <row r="9" spans="1:13" ht="20.25">
      <c r="A9" s="82">
        <v>6</v>
      </c>
      <c r="B9" s="256" t="s">
        <v>382</v>
      </c>
      <c r="C9" s="256" t="s">
        <v>197</v>
      </c>
      <c r="D9" s="30"/>
      <c r="E9" s="11"/>
      <c r="F9" s="11"/>
      <c r="G9" s="11"/>
      <c r="H9" s="11"/>
      <c r="I9" s="129"/>
      <c r="J9" s="9" t="s">
        <v>9</v>
      </c>
      <c r="K9" s="9" t="s">
        <v>56</v>
      </c>
      <c r="L9" s="9" t="str">
        <f t="shared" si="0"/>
        <v>Rh.B</v>
      </c>
      <c r="M9" s="67"/>
    </row>
    <row r="10" spans="1:13" ht="20.25">
      <c r="A10" s="81">
        <v>7</v>
      </c>
      <c r="B10" s="256" t="s">
        <v>383</v>
      </c>
      <c r="C10" s="256" t="s">
        <v>200</v>
      </c>
      <c r="D10" s="30"/>
      <c r="E10" s="11"/>
      <c r="F10" s="11"/>
      <c r="G10" s="11"/>
      <c r="H10" s="11"/>
      <c r="I10" s="129"/>
      <c r="J10" s="9" t="s">
        <v>9</v>
      </c>
      <c r="K10" s="9" t="s">
        <v>55</v>
      </c>
      <c r="L10" s="9" t="str">
        <f t="shared" si="0"/>
        <v>Rh.O</v>
      </c>
      <c r="M10" s="67"/>
    </row>
    <row r="11" spans="1:13" ht="20.25">
      <c r="A11" s="82">
        <v>8</v>
      </c>
      <c r="B11" s="256" t="s">
        <v>384</v>
      </c>
      <c r="C11" s="256" t="s">
        <v>202</v>
      </c>
      <c r="D11" s="15"/>
      <c r="E11" s="5"/>
      <c r="F11" s="5"/>
      <c r="G11" s="5"/>
      <c r="H11" s="5"/>
      <c r="I11" s="129"/>
      <c r="J11" s="9" t="s">
        <v>9</v>
      </c>
      <c r="K11" s="9" t="s">
        <v>54</v>
      </c>
      <c r="L11" s="9" t="str">
        <f t="shared" si="0"/>
        <v>Rh.A</v>
      </c>
      <c r="M11" s="67"/>
    </row>
    <row r="12" spans="1:13" ht="20.25">
      <c r="A12" s="81">
        <v>9</v>
      </c>
      <c r="B12" s="256" t="s">
        <v>385</v>
      </c>
      <c r="C12" s="256" t="s">
        <v>206</v>
      </c>
      <c r="D12" s="15"/>
      <c r="E12" s="5"/>
      <c r="F12" s="5"/>
      <c r="G12" s="5"/>
      <c r="H12" s="5"/>
      <c r="I12" s="129"/>
      <c r="J12" s="9" t="s">
        <v>9</v>
      </c>
      <c r="K12" s="9" t="s">
        <v>55</v>
      </c>
      <c r="L12" s="9" t="str">
        <f t="shared" si="0"/>
        <v>Rh.O</v>
      </c>
      <c r="M12" s="67"/>
    </row>
    <row r="13" spans="1:13" ht="20.25">
      <c r="A13" s="82">
        <v>10</v>
      </c>
      <c r="B13" s="256" t="s">
        <v>386</v>
      </c>
      <c r="C13" s="256" t="s">
        <v>210</v>
      </c>
      <c r="D13" s="31"/>
      <c r="E13" s="10"/>
      <c r="F13" s="10"/>
      <c r="G13" s="10"/>
      <c r="H13" s="10"/>
      <c r="I13" s="129"/>
      <c r="J13" s="9" t="s">
        <v>9</v>
      </c>
      <c r="K13" s="9" t="s">
        <v>55</v>
      </c>
      <c r="L13" s="9" t="str">
        <f t="shared" si="0"/>
        <v>Rh.O</v>
      </c>
      <c r="M13" s="67"/>
    </row>
    <row r="14" spans="1:13" ht="20.25">
      <c r="A14" s="81">
        <v>11</v>
      </c>
      <c r="B14" s="256" t="s">
        <v>387</v>
      </c>
      <c r="C14" s="256" t="s">
        <v>213</v>
      </c>
      <c r="D14" s="30"/>
      <c r="E14" s="11"/>
      <c r="F14" s="11"/>
      <c r="G14" s="11"/>
      <c r="H14" s="11"/>
      <c r="I14" s="140"/>
      <c r="J14" s="9" t="s">
        <v>9</v>
      </c>
      <c r="K14" s="9" t="s">
        <v>54</v>
      </c>
      <c r="L14" s="9" t="str">
        <f t="shared" si="0"/>
        <v>Rh.A</v>
      </c>
      <c r="M14" s="67"/>
    </row>
    <row r="15" spans="1:13" ht="20.25">
      <c r="A15" s="82">
        <v>12</v>
      </c>
      <c r="B15" s="256" t="s">
        <v>388</v>
      </c>
      <c r="C15" s="256" t="s">
        <v>217</v>
      </c>
      <c r="D15" s="30"/>
      <c r="E15" s="11"/>
      <c r="F15" s="11"/>
      <c r="G15" s="11"/>
      <c r="H15" s="11"/>
      <c r="I15" s="140"/>
      <c r="J15" s="9" t="s">
        <v>9</v>
      </c>
      <c r="K15" s="9" t="s">
        <v>56</v>
      </c>
      <c r="L15" s="9" t="str">
        <f t="shared" si="0"/>
        <v>Rh.B</v>
      </c>
      <c r="M15" s="67"/>
    </row>
    <row r="16" spans="1:13" ht="20.25">
      <c r="A16" s="81">
        <v>13</v>
      </c>
      <c r="B16" s="256" t="s">
        <v>389</v>
      </c>
      <c r="C16" s="256" t="s">
        <v>344</v>
      </c>
      <c r="D16" s="30"/>
      <c r="E16" s="11"/>
      <c r="F16" s="11"/>
      <c r="G16" s="11"/>
      <c r="H16" s="11"/>
      <c r="I16" s="140"/>
      <c r="J16" s="9" t="s">
        <v>9</v>
      </c>
      <c r="K16" s="9" t="s">
        <v>56</v>
      </c>
      <c r="L16" s="9" t="str">
        <f t="shared" si="0"/>
        <v>Rh.B</v>
      </c>
      <c r="M16" s="67"/>
    </row>
    <row r="17" spans="1:13" ht="20.25">
      <c r="A17" s="82">
        <v>14</v>
      </c>
      <c r="B17" s="256" t="s">
        <v>390</v>
      </c>
      <c r="C17" s="256" t="s">
        <v>224</v>
      </c>
      <c r="D17" s="30"/>
      <c r="E17" s="11"/>
      <c r="F17" s="11"/>
      <c r="G17" s="11"/>
      <c r="H17" s="11"/>
      <c r="I17" s="73"/>
      <c r="J17" s="9" t="s">
        <v>9</v>
      </c>
      <c r="K17" s="9" t="s">
        <v>54</v>
      </c>
      <c r="L17" s="9" t="str">
        <f t="shared" si="0"/>
        <v>Rh.A</v>
      </c>
      <c r="M17" s="67"/>
    </row>
    <row r="18" spans="1:13" ht="20.25">
      <c r="A18" s="81">
        <v>15</v>
      </c>
      <c r="B18" s="256" t="s">
        <v>391</v>
      </c>
      <c r="C18" s="256" t="s">
        <v>228</v>
      </c>
      <c r="D18" s="30"/>
      <c r="E18" s="11"/>
      <c r="F18" s="11"/>
      <c r="G18" s="11"/>
      <c r="H18" s="11"/>
      <c r="I18" s="73"/>
      <c r="J18" s="9" t="s">
        <v>9</v>
      </c>
      <c r="K18" s="9" t="s">
        <v>56</v>
      </c>
      <c r="L18" s="9" t="str">
        <f t="shared" si="0"/>
        <v>Rh.B</v>
      </c>
      <c r="M18" s="67"/>
    </row>
    <row r="19" spans="1:13" ht="20.25">
      <c r="A19" s="82">
        <v>16</v>
      </c>
      <c r="B19" s="256" t="s">
        <v>392</v>
      </c>
      <c r="C19" s="256" t="s">
        <v>347</v>
      </c>
      <c r="D19" s="30"/>
      <c r="E19" s="11"/>
      <c r="F19" s="11"/>
      <c r="G19" s="11"/>
      <c r="H19" s="11"/>
      <c r="I19" s="73"/>
      <c r="J19" s="9" t="s">
        <v>9</v>
      </c>
      <c r="K19" s="9" t="s">
        <v>55</v>
      </c>
      <c r="L19" s="9" t="str">
        <f t="shared" si="0"/>
        <v>Rh.O</v>
      </c>
      <c r="M19" s="67"/>
    </row>
    <row r="20" spans="1:13" ht="21" customHeight="1">
      <c r="A20" s="81">
        <v>17</v>
      </c>
      <c r="B20" s="256" t="s">
        <v>393</v>
      </c>
      <c r="C20" s="256" t="s">
        <v>232</v>
      </c>
      <c r="D20" s="30"/>
      <c r="E20" s="11"/>
      <c r="F20" s="11"/>
      <c r="G20" s="11"/>
      <c r="H20" s="11"/>
      <c r="I20" s="140"/>
      <c r="J20" s="9" t="s">
        <v>9</v>
      </c>
      <c r="K20" s="9" t="s">
        <v>55</v>
      </c>
      <c r="L20" s="9" t="str">
        <f t="shared" si="0"/>
        <v>Rh.O</v>
      </c>
      <c r="M20" s="67"/>
    </row>
    <row r="21" spans="1:13" ht="20.25">
      <c r="A21" s="82">
        <v>18</v>
      </c>
      <c r="B21" s="256" t="s">
        <v>394</v>
      </c>
      <c r="C21" s="256" t="s">
        <v>236</v>
      </c>
      <c r="D21" s="30"/>
      <c r="E21" s="11"/>
      <c r="F21" s="11"/>
      <c r="G21" s="11"/>
      <c r="H21" s="11"/>
      <c r="I21" s="140"/>
      <c r="J21" s="9" t="s">
        <v>9</v>
      </c>
      <c r="K21" s="9" t="s">
        <v>54</v>
      </c>
      <c r="L21" s="9" t="str">
        <f t="shared" si="0"/>
        <v>Rh.A</v>
      </c>
      <c r="M21" s="67"/>
    </row>
    <row r="22" spans="1:13" ht="20.25">
      <c r="A22" s="81">
        <v>19</v>
      </c>
      <c r="B22" s="256" t="s">
        <v>395</v>
      </c>
      <c r="C22" s="256" t="s">
        <v>240</v>
      </c>
      <c r="D22" s="15"/>
      <c r="E22" s="5"/>
      <c r="F22" s="5"/>
      <c r="G22" s="5"/>
      <c r="H22" s="5"/>
      <c r="I22" s="140"/>
      <c r="J22" s="9" t="s">
        <v>9</v>
      </c>
      <c r="K22" s="9" t="s">
        <v>55</v>
      </c>
      <c r="L22" s="9" t="str">
        <f t="shared" si="0"/>
        <v>Rh.O</v>
      </c>
      <c r="M22" s="67"/>
    </row>
    <row r="23" spans="1:13" ht="20.25">
      <c r="A23" s="82">
        <v>20</v>
      </c>
      <c r="B23" s="256" t="s">
        <v>396</v>
      </c>
      <c r="C23" s="256" t="s">
        <v>243</v>
      </c>
      <c r="D23" s="15"/>
      <c r="E23" s="5"/>
      <c r="F23" s="5"/>
      <c r="G23" s="5"/>
      <c r="H23" s="5"/>
      <c r="I23" s="147"/>
      <c r="J23" s="9" t="s">
        <v>9</v>
      </c>
      <c r="K23" s="9" t="s">
        <v>55</v>
      </c>
      <c r="L23" s="9" t="str">
        <f t="shared" si="0"/>
        <v>Rh.O</v>
      </c>
      <c r="M23" s="67"/>
    </row>
    <row r="24" spans="1:13" ht="20.25">
      <c r="A24" s="81">
        <v>21</v>
      </c>
      <c r="B24" s="256" t="s">
        <v>397</v>
      </c>
      <c r="C24" s="256" t="s">
        <v>163</v>
      </c>
      <c r="D24" s="15"/>
      <c r="E24" s="37"/>
      <c r="F24" s="37"/>
      <c r="G24" s="37"/>
      <c r="H24" s="37"/>
      <c r="I24" s="149"/>
      <c r="J24" s="9" t="s">
        <v>9</v>
      </c>
      <c r="K24" s="9" t="s">
        <v>54</v>
      </c>
      <c r="L24" s="9" t="str">
        <f t="shared" si="0"/>
        <v>Rh.A</v>
      </c>
      <c r="M24" s="67"/>
    </row>
    <row r="25" spans="1:13" ht="20.25">
      <c r="A25" s="82">
        <v>22</v>
      </c>
      <c r="B25" s="256" t="s">
        <v>398</v>
      </c>
      <c r="C25" s="256" t="s">
        <v>164</v>
      </c>
      <c r="D25" s="31"/>
      <c r="E25" s="10"/>
      <c r="F25" s="10"/>
      <c r="G25" s="10"/>
      <c r="H25" s="10"/>
      <c r="I25" s="149"/>
      <c r="J25" s="9" t="s">
        <v>9</v>
      </c>
      <c r="K25" s="9" t="s">
        <v>57</v>
      </c>
      <c r="L25" s="9" t="str">
        <f t="shared" si="0"/>
        <v>Rh.AB</v>
      </c>
      <c r="M25" s="67"/>
    </row>
    <row r="26" spans="1:13" ht="20.25">
      <c r="A26" s="81">
        <v>23</v>
      </c>
      <c r="B26" s="256" t="s">
        <v>399</v>
      </c>
      <c r="C26" s="256" t="s">
        <v>165</v>
      </c>
      <c r="D26" s="15"/>
      <c r="E26" s="5"/>
      <c r="F26" s="5"/>
      <c r="G26" s="5"/>
      <c r="H26" s="5"/>
      <c r="I26" s="149"/>
      <c r="J26" s="9" t="s">
        <v>9</v>
      </c>
      <c r="K26" s="9" t="s">
        <v>57</v>
      </c>
      <c r="L26" s="9" t="str">
        <f t="shared" si="0"/>
        <v>Rh.AB</v>
      </c>
      <c r="M26" s="67"/>
    </row>
    <row r="27" spans="1:13" ht="20.25">
      <c r="A27" s="82">
        <v>24</v>
      </c>
      <c r="B27" s="256" t="s">
        <v>400</v>
      </c>
      <c r="C27" s="256" t="s">
        <v>166</v>
      </c>
      <c r="D27" s="32"/>
      <c r="E27" s="4"/>
      <c r="F27" s="4"/>
      <c r="G27" s="4"/>
      <c r="H27" s="4"/>
      <c r="I27" s="149"/>
      <c r="J27" s="9" t="s">
        <v>9</v>
      </c>
      <c r="K27" s="9" t="s">
        <v>55</v>
      </c>
      <c r="L27" s="9" t="str">
        <f t="shared" si="0"/>
        <v>Rh.O</v>
      </c>
      <c r="M27" s="67"/>
    </row>
    <row r="28" spans="1:13" ht="20.25">
      <c r="A28" s="81">
        <v>25</v>
      </c>
      <c r="B28" s="256" t="s">
        <v>401</v>
      </c>
      <c r="C28" s="256" t="s">
        <v>167</v>
      </c>
      <c r="D28" s="15"/>
      <c r="E28" s="5"/>
      <c r="F28" s="5"/>
      <c r="G28" s="5"/>
      <c r="H28" s="5"/>
      <c r="I28" s="149"/>
      <c r="J28" s="9" t="s">
        <v>9</v>
      </c>
      <c r="K28" s="9" t="s">
        <v>54</v>
      </c>
      <c r="L28" s="9" t="str">
        <f t="shared" si="0"/>
        <v>Rh.A</v>
      </c>
      <c r="M28" s="67"/>
    </row>
    <row r="29" spans="1:13" ht="20.25">
      <c r="A29" s="82">
        <v>26</v>
      </c>
      <c r="B29" s="256" t="s">
        <v>402</v>
      </c>
      <c r="C29" s="256" t="s">
        <v>168</v>
      </c>
      <c r="D29" s="32"/>
      <c r="E29" s="4"/>
      <c r="F29" s="4"/>
      <c r="G29" s="4"/>
      <c r="H29" s="4"/>
      <c r="I29" s="149"/>
      <c r="J29" s="9" t="s">
        <v>9</v>
      </c>
      <c r="K29" s="9" t="s">
        <v>55</v>
      </c>
      <c r="L29" s="9" t="str">
        <f t="shared" si="0"/>
        <v>Rh.O</v>
      </c>
      <c r="M29" s="67"/>
    </row>
    <row r="30" spans="1:13" ht="20.25">
      <c r="A30" s="81">
        <v>27</v>
      </c>
      <c r="B30" s="256" t="s">
        <v>403</v>
      </c>
      <c r="C30" s="256" t="s">
        <v>91</v>
      </c>
      <c r="D30" s="15"/>
      <c r="E30" s="5"/>
      <c r="F30" s="5"/>
      <c r="G30" s="5"/>
      <c r="H30" s="5"/>
      <c r="I30" s="149"/>
      <c r="J30" s="9" t="s">
        <v>9</v>
      </c>
      <c r="K30" s="9" t="s">
        <v>55</v>
      </c>
      <c r="L30" s="9" t="str">
        <f t="shared" si="0"/>
        <v>Rh.O</v>
      </c>
      <c r="M30" s="67"/>
    </row>
    <row r="31" spans="1:13" ht="20.25">
      <c r="A31" s="82">
        <v>28</v>
      </c>
      <c r="B31" s="256" t="s">
        <v>404</v>
      </c>
      <c r="C31" s="256" t="s">
        <v>351</v>
      </c>
      <c r="D31" s="15"/>
      <c r="E31" s="5"/>
      <c r="F31" s="5"/>
      <c r="G31" s="5"/>
      <c r="H31" s="5"/>
      <c r="I31" s="149"/>
      <c r="J31" s="9" t="s">
        <v>9</v>
      </c>
      <c r="K31" s="9" t="s">
        <v>54</v>
      </c>
      <c r="L31" s="9" t="str">
        <f t="shared" si="0"/>
        <v>Rh.A</v>
      </c>
      <c r="M31" s="67"/>
    </row>
    <row r="32" spans="1:13" ht="20.25">
      <c r="A32" s="81">
        <v>29</v>
      </c>
      <c r="B32" s="256" t="s">
        <v>405</v>
      </c>
      <c r="C32" s="256" t="s">
        <v>98</v>
      </c>
      <c r="D32" s="32"/>
      <c r="E32" s="4"/>
      <c r="F32" s="4"/>
      <c r="G32" s="4"/>
      <c r="H32" s="4"/>
      <c r="I32" s="149"/>
      <c r="J32" s="9" t="s">
        <v>9</v>
      </c>
      <c r="K32" s="9" t="s">
        <v>56</v>
      </c>
      <c r="L32" s="9" t="str">
        <f t="shared" si="0"/>
        <v>Rh.B</v>
      </c>
      <c r="M32" s="67"/>
    </row>
    <row r="33" spans="1:13" ht="20.25">
      <c r="A33" s="82">
        <v>30</v>
      </c>
      <c r="B33" s="256" t="s">
        <v>406</v>
      </c>
      <c r="C33" s="256" t="s">
        <v>102</v>
      </c>
      <c r="D33" s="15"/>
      <c r="E33" s="5"/>
      <c r="F33" s="5"/>
      <c r="G33" s="5"/>
      <c r="H33" s="5"/>
      <c r="I33" s="149"/>
      <c r="J33" s="9" t="s">
        <v>9</v>
      </c>
      <c r="K33" s="9" t="s">
        <v>54</v>
      </c>
      <c r="L33" s="9" t="str">
        <f t="shared" si="0"/>
        <v>Rh.A</v>
      </c>
      <c r="M33" s="67"/>
    </row>
    <row r="34" spans="1:13" ht="20.25">
      <c r="A34" s="81">
        <v>31</v>
      </c>
      <c r="B34" s="256" t="s">
        <v>272</v>
      </c>
      <c r="C34" s="256" t="s">
        <v>121</v>
      </c>
      <c r="D34" s="32"/>
      <c r="E34" s="4"/>
      <c r="F34" s="4"/>
      <c r="G34" s="4"/>
      <c r="H34" s="4"/>
      <c r="I34" s="140"/>
      <c r="J34" s="9" t="s">
        <v>9</v>
      </c>
      <c r="K34" s="9" t="s">
        <v>55</v>
      </c>
      <c r="L34" s="9" t="str">
        <f t="shared" si="0"/>
        <v>Rh.O</v>
      </c>
      <c r="M34" s="67"/>
    </row>
    <row r="35" spans="1:13" s="9" customFormat="1" ht="20.25">
      <c r="A35" s="82">
        <v>32</v>
      </c>
      <c r="B35" s="256" t="s">
        <v>407</v>
      </c>
      <c r="C35" s="256" t="s">
        <v>133</v>
      </c>
      <c r="D35" s="15"/>
      <c r="E35" s="15"/>
      <c r="F35" s="15"/>
      <c r="G35" s="15"/>
      <c r="H35" s="15"/>
      <c r="I35" s="140"/>
      <c r="J35" s="9" t="s">
        <v>9</v>
      </c>
      <c r="K35" s="9" t="s">
        <v>55</v>
      </c>
      <c r="L35" s="9" t="str">
        <f t="shared" si="0"/>
        <v>Rh.O</v>
      </c>
      <c r="M35" s="67"/>
    </row>
    <row r="36" spans="1:13" ht="20.25">
      <c r="A36" s="81">
        <v>33</v>
      </c>
      <c r="B36" s="256" t="s">
        <v>408</v>
      </c>
      <c r="C36" s="256" t="s">
        <v>134</v>
      </c>
      <c r="D36" s="33"/>
      <c r="E36" s="8"/>
      <c r="F36" s="8"/>
      <c r="G36" s="8"/>
      <c r="H36" s="8"/>
      <c r="I36" s="140"/>
      <c r="J36" s="9" t="s">
        <v>9</v>
      </c>
      <c r="K36" s="9" t="s">
        <v>57</v>
      </c>
      <c r="L36" s="9" t="str">
        <f t="shared" si="0"/>
        <v>Rh.AB</v>
      </c>
      <c r="M36" s="67"/>
    </row>
    <row r="37" spans="1:13" ht="20.25">
      <c r="A37" s="82">
        <v>34</v>
      </c>
      <c r="B37" s="256" t="s">
        <v>409</v>
      </c>
      <c r="C37" s="256" t="s">
        <v>150</v>
      </c>
      <c r="D37" s="33"/>
      <c r="E37" s="16"/>
      <c r="F37" s="16"/>
      <c r="G37" s="16"/>
      <c r="H37" s="16"/>
      <c r="I37" s="140"/>
      <c r="J37" s="9" t="s">
        <v>9</v>
      </c>
      <c r="K37" s="9" t="s">
        <v>56</v>
      </c>
      <c r="L37" s="9" t="str">
        <f t="shared" si="0"/>
        <v>Rh.B</v>
      </c>
      <c r="M37" s="67"/>
    </row>
    <row r="38" spans="1:13" ht="20.25">
      <c r="A38" s="81">
        <v>35</v>
      </c>
      <c r="B38" s="256" t="s">
        <v>410</v>
      </c>
      <c r="C38" s="256" t="s">
        <v>152</v>
      </c>
      <c r="D38" s="34"/>
      <c r="E38" s="17"/>
      <c r="F38" s="17"/>
      <c r="G38" s="17"/>
      <c r="H38" s="17"/>
      <c r="I38" s="140"/>
      <c r="J38" s="9" t="s">
        <v>9</v>
      </c>
      <c r="K38" s="9" t="s">
        <v>55</v>
      </c>
      <c r="L38" s="9" t="str">
        <f t="shared" si="0"/>
        <v>Rh.O</v>
      </c>
      <c r="M38" s="67"/>
    </row>
    <row r="39" spans="1:13" ht="20.25">
      <c r="A39" s="82">
        <v>36</v>
      </c>
      <c r="B39" s="256" t="s">
        <v>411</v>
      </c>
      <c r="C39" s="256" t="s">
        <v>151</v>
      </c>
      <c r="D39" s="33"/>
      <c r="E39" s="16"/>
      <c r="F39" s="16"/>
      <c r="G39" s="16"/>
      <c r="H39" s="16"/>
      <c r="I39" s="140"/>
      <c r="J39" s="9" t="s">
        <v>9</v>
      </c>
      <c r="K39" s="9" t="s">
        <v>55</v>
      </c>
      <c r="L39" s="9" t="str">
        <f t="shared" si="0"/>
        <v>Rh.O</v>
      </c>
      <c r="M39" s="67"/>
    </row>
    <row r="40" spans="1:13" ht="20.25">
      <c r="A40" s="81">
        <v>37</v>
      </c>
      <c r="B40" s="256" t="s">
        <v>412</v>
      </c>
      <c r="C40" s="256" t="s">
        <v>153</v>
      </c>
      <c r="D40" s="34"/>
      <c r="E40" s="17"/>
      <c r="F40" s="17"/>
      <c r="G40" s="17"/>
      <c r="H40" s="17"/>
      <c r="I40" s="140"/>
      <c r="J40" s="9" t="s">
        <v>9</v>
      </c>
      <c r="K40" s="9" t="s">
        <v>55</v>
      </c>
      <c r="L40" s="9" t="str">
        <f t="shared" si="0"/>
        <v>Rh.O</v>
      </c>
      <c r="M40" s="67"/>
    </row>
    <row r="41" spans="1:13" ht="20.25">
      <c r="A41" s="82">
        <v>38</v>
      </c>
      <c r="B41" s="256" t="s">
        <v>413</v>
      </c>
      <c r="C41" s="256" t="s">
        <v>154</v>
      </c>
      <c r="D41" s="34"/>
      <c r="E41" s="17"/>
      <c r="F41" s="17"/>
      <c r="G41" s="17"/>
      <c r="H41" s="17"/>
      <c r="I41" s="140"/>
      <c r="J41" s="9" t="s">
        <v>9</v>
      </c>
      <c r="K41" s="9" t="s">
        <v>56</v>
      </c>
      <c r="L41" s="9" t="str">
        <f t="shared" si="0"/>
        <v>Rh.B</v>
      </c>
      <c r="M41" s="67"/>
    </row>
    <row r="42" spans="1:13" ht="20.25">
      <c r="A42" s="81">
        <v>39</v>
      </c>
      <c r="B42" s="256" t="s">
        <v>414</v>
      </c>
      <c r="C42" s="256" t="s">
        <v>155</v>
      </c>
      <c r="D42" s="35"/>
      <c r="E42" s="7"/>
      <c r="F42" s="7"/>
      <c r="G42" s="7"/>
      <c r="H42" s="7"/>
      <c r="I42" s="140"/>
      <c r="J42" s="9" t="s">
        <v>9</v>
      </c>
      <c r="K42" s="9" t="s">
        <v>56</v>
      </c>
      <c r="L42" s="9" t="str">
        <f t="shared" si="0"/>
        <v>Rh.B</v>
      </c>
      <c r="M42" s="67"/>
    </row>
    <row r="43" spans="1:13" ht="20.25">
      <c r="A43" s="82">
        <v>40</v>
      </c>
      <c r="B43" s="256" t="s">
        <v>415</v>
      </c>
      <c r="C43" s="256" t="s">
        <v>156</v>
      </c>
      <c r="D43" s="15"/>
      <c r="E43" s="5"/>
      <c r="F43" s="5"/>
      <c r="G43" s="5"/>
      <c r="H43" s="5"/>
      <c r="I43" s="140"/>
      <c r="J43" s="9" t="s">
        <v>9</v>
      </c>
      <c r="K43" s="9" t="s">
        <v>57</v>
      </c>
      <c r="L43" s="9" t="str">
        <f t="shared" si="0"/>
        <v>Rh.AB</v>
      </c>
      <c r="M43" s="67"/>
    </row>
    <row r="44" spans="1:13" ht="20.25">
      <c r="A44" s="81">
        <v>41</v>
      </c>
      <c r="B44" s="256" t="s">
        <v>371</v>
      </c>
      <c r="C44" s="256" t="s">
        <v>336</v>
      </c>
      <c r="D44" s="15"/>
      <c r="E44" s="5"/>
      <c r="F44" s="5"/>
      <c r="G44" s="5"/>
      <c r="H44" s="5"/>
      <c r="I44" s="140"/>
      <c r="J44" s="9" t="s">
        <v>9</v>
      </c>
      <c r="K44" s="9" t="s">
        <v>55</v>
      </c>
      <c r="L44" s="9" t="str">
        <f t="shared" ref="L44:L53" si="1">J44&amp;K44</f>
        <v>Rh.O</v>
      </c>
      <c r="M44" s="67"/>
    </row>
    <row r="45" spans="1:13" ht="20.25">
      <c r="A45" s="82">
        <v>42</v>
      </c>
      <c r="B45" s="256" t="s">
        <v>416</v>
      </c>
      <c r="C45" s="256" t="s">
        <v>169</v>
      </c>
      <c r="D45" s="15"/>
      <c r="E45" s="5"/>
      <c r="F45" s="5"/>
      <c r="G45" s="5"/>
      <c r="H45" s="5"/>
      <c r="I45" s="140"/>
      <c r="J45" s="9" t="s">
        <v>9</v>
      </c>
      <c r="L45" s="9" t="str">
        <f t="shared" si="1"/>
        <v>Rh.</v>
      </c>
      <c r="M45" s="67"/>
    </row>
    <row r="46" spans="1:13" ht="20.25">
      <c r="A46" s="81">
        <v>43</v>
      </c>
      <c r="B46" s="256" t="s">
        <v>417</v>
      </c>
      <c r="C46" s="256" t="s">
        <v>361</v>
      </c>
      <c r="D46" s="15"/>
      <c r="E46" s="5"/>
      <c r="F46" s="5"/>
      <c r="G46" s="5"/>
      <c r="H46" s="5"/>
      <c r="I46" s="140"/>
      <c r="J46" s="9" t="s">
        <v>9</v>
      </c>
      <c r="K46" s="9" t="s">
        <v>54</v>
      </c>
      <c r="L46" s="9" t="str">
        <f t="shared" si="1"/>
        <v>Rh.A</v>
      </c>
      <c r="M46" s="67"/>
    </row>
    <row r="47" spans="1:13" ht="20.25">
      <c r="A47" s="82">
        <v>44</v>
      </c>
      <c r="B47" s="256" t="s">
        <v>418</v>
      </c>
      <c r="C47" s="256" t="s">
        <v>361</v>
      </c>
      <c r="D47" s="15"/>
      <c r="E47" s="5"/>
      <c r="F47" s="5"/>
      <c r="G47" s="5"/>
      <c r="H47" s="5"/>
      <c r="I47" s="140"/>
      <c r="J47" s="9" t="s">
        <v>9</v>
      </c>
      <c r="K47" s="9" t="s">
        <v>55</v>
      </c>
      <c r="L47" s="9" t="str">
        <f t="shared" si="1"/>
        <v>Rh.O</v>
      </c>
      <c r="M47" s="67"/>
    </row>
    <row r="48" spans="1:13" ht="20.25">
      <c r="A48" s="81">
        <v>45</v>
      </c>
      <c r="B48" s="256" t="s">
        <v>419</v>
      </c>
      <c r="C48" s="256" t="s">
        <v>362</v>
      </c>
      <c r="D48" s="15"/>
      <c r="E48" s="5"/>
      <c r="F48" s="5"/>
      <c r="G48" s="5"/>
      <c r="H48" s="5"/>
      <c r="I48" s="152"/>
      <c r="J48" s="9" t="s">
        <v>9</v>
      </c>
      <c r="K48" s="9" t="s">
        <v>55</v>
      </c>
      <c r="L48" s="9" t="str">
        <f t="shared" si="1"/>
        <v>Rh.O</v>
      </c>
      <c r="M48" s="67"/>
    </row>
    <row r="49" spans="1:13" ht="20.25">
      <c r="A49" s="82">
        <v>46</v>
      </c>
      <c r="B49" s="256" t="s">
        <v>420</v>
      </c>
      <c r="C49" s="256" t="s">
        <v>170</v>
      </c>
      <c r="D49" s="15"/>
      <c r="E49" s="5"/>
      <c r="F49" s="5"/>
      <c r="G49" s="5"/>
      <c r="H49" s="5"/>
      <c r="I49" s="140"/>
      <c r="J49" s="9" t="s">
        <v>9</v>
      </c>
      <c r="K49" s="9" t="s">
        <v>54</v>
      </c>
      <c r="L49" s="9" t="str">
        <f t="shared" si="1"/>
        <v>Rh.A</v>
      </c>
      <c r="M49" s="67"/>
    </row>
    <row r="50" spans="1:13" ht="20.25">
      <c r="A50" s="81">
        <v>47</v>
      </c>
      <c r="B50" s="256" t="s">
        <v>421</v>
      </c>
      <c r="C50" s="256" t="s">
        <v>171</v>
      </c>
      <c r="D50" s="15"/>
      <c r="E50" s="5"/>
      <c r="F50" s="5"/>
      <c r="G50" s="5"/>
      <c r="H50" s="5"/>
      <c r="I50" s="140"/>
      <c r="J50" s="9" t="s">
        <v>9</v>
      </c>
      <c r="K50" s="9" t="s">
        <v>55</v>
      </c>
      <c r="L50" s="9" t="str">
        <f t="shared" si="1"/>
        <v>Rh.O</v>
      </c>
      <c r="M50" s="67"/>
    </row>
    <row r="51" spans="1:13" ht="20.25">
      <c r="A51" s="82">
        <v>48</v>
      </c>
      <c r="B51" s="256" t="s">
        <v>422</v>
      </c>
      <c r="C51" s="256" t="s">
        <v>172</v>
      </c>
      <c r="D51" s="15"/>
      <c r="E51" s="5"/>
      <c r="F51" s="5"/>
      <c r="G51" s="5"/>
      <c r="H51" s="5"/>
      <c r="I51" s="140"/>
      <c r="J51" s="9" t="s">
        <v>9</v>
      </c>
      <c r="K51" s="9" t="s">
        <v>54</v>
      </c>
      <c r="L51" s="9" t="str">
        <f t="shared" si="1"/>
        <v>Rh.A</v>
      </c>
    </row>
    <row r="52" spans="1:13" ht="20.25">
      <c r="A52" s="81">
        <v>49</v>
      </c>
      <c r="B52" s="256" t="s">
        <v>423</v>
      </c>
      <c r="C52" s="256" t="s">
        <v>173</v>
      </c>
      <c r="D52" s="15"/>
      <c r="E52" s="5"/>
      <c r="F52" s="5"/>
      <c r="G52" s="5"/>
      <c r="H52" s="5"/>
      <c r="I52" s="140"/>
      <c r="J52" s="9" t="s">
        <v>9</v>
      </c>
      <c r="K52" s="9" t="s">
        <v>55</v>
      </c>
      <c r="L52" s="9" t="str">
        <f t="shared" si="1"/>
        <v>Rh.O</v>
      </c>
    </row>
    <row r="53" spans="1:13" ht="20.25">
      <c r="A53" s="82">
        <v>50</v>
      </c>
      <c r="B53" s="256" t="s">
        <v>424</v>
      </c>
      <c r="C53" s="256" t="s">
        <v>159</v>
      </c>
      <c r="D53" s="15"/>
      <c r="E53" s="5"/>
      <c r="F53" s="5"/>
      <c r="G53" s="5"/>
      <c r="H53" s="5"/>
      <c r="I53" s="140"/>
      <c r="J53" s="9" t="s">
        <v>9</v>
      </c>
      <c r="L53" s="9" t="str">
        <f t="shared" si="1"/>
        <v>Rh.</v>
      </c>
    </row>
  </sheetData>
  <mergeCells count="3">
    <mergeCell ref="J3:L3"/>
    <mergeCell ref="A1:I1"/>
    <mergeCell ref="A2:I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328"/>
  <sheetViews>
    <sheetView topLeftCell="B305" workbookViewId="0">
      <selection activeCell="S331" sqref="S331"/>
    </sheetView>
  </sheetViews>
  <sheetFormatPr defaultColWidth="9" defaultRowHeight="15"/>
  <cols>
    <col min="1" max="1" width="0.875" style="13" hidden="1" customWidth="1"/>
    <col min="2" max="3" width="0.875" style="13" customWidth="1"/>
    <col min="4" max="4" width="6.125" style="13" customWidth="1"/>
    <col min="5" max="6" width="0.875" style="13" customWidth="1"/>
    <col min="7" max="7" width="9.625" style="13" customWidth="1"/>
    <col min="8" max="8" width="8.125" style="13" customWidth="1"/>
    <col min="9" max="9" width="9.125" style="13" customWidth="1"/>
    <col min="10" max="10" width="10.5" style="13" customWidth="1"/>
    <col min="11" max="11" width="0.625" style="13" customWidth="1"/>
    <col min="12" max="13" width="0.875" style="13" customWidth="1"/>
    <col min="14" max="14" width="6.125" style="13" customWidth="1"/>
    <col min="15" max="16" width="0.875" style="13" customWidth="1"/>
    <col min="17" max="17" width="9.625" style="13" customWidth="1"/>
    <col min="18" max="18" width="8.125" style="13" customWidth="1"/>
    <col min="19" max="19" width="9.125" style="13" customWidth="1"/>
    <col min="20" max="20" width="10.5" style="13" customWidth="1"/>
    <col min="21" max="21" width="5.625" style="1" customWidth="1"/>
    <col min="22" max="22" width="23.125" style="1" bestFit="1" customWidth="1"/>
    <col min="23" max="32" width="9" style="1"/>
    <col min="33" max="16384" width="9" style="13"/>
  </cols>
  <sheetData>
    <row r="1" spans="2:30" ht="3" customHeight="1" thickBot="1"/>
    <row r="2" spans="2:30" s="259" customFormat="1" ht="39" thickTop="1">
      <c r="B2" s="257"/>
      <c r="C2" s="258"/>
      <c r="D2" s="258"/>
      <c r="E2" s="258"/>
      <c r="F2" s="258"/>
      <c r="G2" s="316" t="s">
        <v>425</v>
      </c>
      <c r="H2" s="331"/>
      <c r="I2" s="331"/>
      <c r="J2" s="332"/>
      <c r="L2" s="257"/>
      <c r="M2" s="258"/>
      <c r="N2" s="258"/>
      <c r="O2" s="258"/>
      <c r="P2" s="258"/>
      <c r="Q2" s="316" t="str">
        <f>G2</f>
        <v>ปรับพื้นฐานยุทธวิธีตำรวจระดับครูฝึก(สัญญาบัตร) รุ่นที่2</v>
      </c>
      <c r="R2" s="316"/>
      <c r="S2" s="316"/>
      <c r="T2" s="317"/>
      <c r="U2" s="264"/>
      <c r="V2" s="264"/>
      <c r="W2" s="264"/>
      <c r="X2" s="264"/>
      <c r="Y2" s="264"/>
      <c r="Z2" s="264"/>
      <c r="AA2" s="264"/>
      <c r="AB2" s="264"/>
      <c r="AC2" s="264"/>
      <c r="AD2" s="264"/>
    </row>
    <row r="3" spans="2:30" s="262" customFormat="1" ht="16.5" customHeight="1">
      <c r="B3" s="260"/>
      <c r="C3" s="261"/>
      <c r="D3" s="261"/>
      <c r="E3" s="261"/>
      <c r="F3" s="261"/>
      <c r="G3" s="318" t="s">
        <v>50</v>
      </c>
      <c r="H3" s="318"/>
      <c r="I3" s="318"/>
      <c r="J3" s="319"/>
      <c r="L3" s="260"/>
      <c r="M3" s="261"/>
      <c r="N3" s="261"/>
      <c r="O3" s="261"/>
      <c r="P3" s="261"/>
      <c r="Q3" s="318" t="str">
        <f>G3</f>
        <v xml:space="preserve"> ประจำปีงบประมาณ 2562</v>
      </c>
      <c r="R3" s="318"/>
      <c r="S3" s="318"/>
      <c r="T3" s="319"/>
      <c r="U3" s="265"/>
      <c r="V3" s="266"/>
      <c r="W3" s="266"/>
      <c r="X3" s="266"/>
      <c r="Y3" s="266"/>
      <c r="Z3" s="265"/>
      <c r="AA3" s="265"/>
      <c r="AB3" s="265"/>
      <c r="AC3" s="265"/>
      <c r="AD3" s="265"/>
    </row>
    <row r="4" spans="2:30" ht="6" customHeight="1">
      <c r="B4" s="27"/>
      <c r="C4" s="26"/>
      <c r="D4" s="26"/>
      <c r="E4" s="26"/>
      <c r="F4" s="26"/>
      <c r="G4" s="320" t="str">
        <f>ข้อมูลทำเนียบ!B4</f>
        <v>พ.ต.ต.ณัฐพงษ์  กลิ่นลำยงค์/น้อย</v>
      </c>
      <c r="H4" s="320"/>
      <c r="I4" s="320"/>
      <c r="J4" s="321"/>
      <c r="L4" s="27"/>
      <c r="M4" s="26"/>
      <c r="N4" s="26"/>
      <c r="O4" s="26"/>
      <c r="P4" s="26"/>
      <c r="Q4" s="320" t="str">
        <f>ข้อมูลทำเนียบ!B5</f>
        <v>ร.ต.อ.สมชาติ  มีความเจริญ/ชาติ</v>
      </c>
      <c r="R4" s="320"/>
      <c r="S4" s="320"/>
      <c r="T4" s="321"/>
      <c r="V4" s="124"/>
      <c r="W4" s="47"/>
      <c r="X4" s="125"/>
      <c r="Y4" s="125"/>
    </row>
    <row r="5" spans="2:30" ht="12" customHeight="1">
      <c r="B5" s="27"/>
      <c r="C5" s="26"/>
      <c r="D5" s="25">
        <v>1</v>
      </c>
      <c r="E5" s="26"/>
      <c r="F5" s="26"/>
      <c r="G5" s="320"/>
      <c r="H5" s="320"/>
      <c r="I5" s="320"/>
      <c r="J5" s="321"/>
      <c r="L5" s="27"/>
      <c r="M5" s="26"/>
      <c r="N5" s="25">
        <v>1</v>
      </c>
      <c r="O5" s="26"/>
      <c r="P5" s="26"/>
      <c r="Q5" s="320"/>
      <c r="R5" s="320"/>
      <c r="S5" s="320"/>
      <c r="T5" s="321"/>
      <c r="V5" s="124"/>
      <c r="W5" s="47"/>
      <c r="X5" s="125"/>
      <c r="Y5" s="125"/>
    </row>
    <row r="6" spans="2:30" ht="12" customHeight="1">
      <c r="B6" s="24"/>
      <c r="C6" s="23"/>
      <c r="D6" s="322">
        <v>1</v>
      </c>
      <c r="E6" s="23"/>
      <c r="F6" s="23"/>
      <c r="G6" s="320"/>
      <c r="H6" s="320"/>
      <c r="I6" s="320"/>
      <c r="J6" s="321"/>
      <c r="L6" s="24"/>
      <c r="M6" s="23"/>
      <c r="N6" s="322">
        <v>2</v>
      </c>
      <c r="O6" s="23"/>
      <c r="P6" s="23"/>
      <c r="Q6" s="320"/>
      <c r="R6" s="320"/>
      <c r="S6" s="320"/>
      <c r="T6" s="321"/>
      <c r="V6" s="124"/>
      <c r="W6" s="47"/>
      <c r="X6" s="125"/>
      <c r="Y6" s="125"/>
    </row>
    <row r="7" spans="2:30" ht="12" customHeight="1">
      <c r="B7" s="24"/>
      <c r="C7" s="23"/>
      <c r="D7" s="323"/>
      <c r="E7" s="23"/>
      <c r="F7" s="23"/>
      <c r="G7" s="320"/>
      <c r="H7" s="320"/>
      <c r="I7" s="320"/>
      <c r="J7" s="321"/>
      <c r="L7" s="24"/>
      <c r="M7" s="23"/>
      <c r="N7" s="323"/>
      <c r="O7" s="23"/>
      <c r="P7" s="23"/>
      <c r="Q7" s="320"/>
      <c r="R7" s="320"/>
      <c r="S7" s="320"/>
      <c r="T7" s="321"/>
      <c r="V7" s="124"/>
      <c r="W7" s="47"/>
      <c r="X7" s="125"/>
      <c r="Y7" s="125"/>
    </row>
    <row r="8" spans="2:30" ht="12" customHeight="1">
      <c r="B8" s="24"/>
      <c r="C8" s="23"/>
      <c r="D8" s="25"/>
      <c r="E8" s="23"/>
      <c r="F8" s="23"/>
      <c r="G8" s="320"/>
      <c r="H8" s="320"/>
      <c r="I8" s="320"/>
      <c r="J8" s="321"/>
      <c r="L8" s="24"/>
      <c r="M8" s="23"/>
      <c r="N8" s="25"/>
      <c r="O8" s="23"/>
      <c r="P8" s="23"/>
      <c r="Q8" s="320"/>
      <c r="R8" s="320"/>
      <c r="S8" s="320"/>
      <c r="T8" s="321"/>
      <c r="V8" s="124"/>
      <c r="W8" s="47"/>
      <c r="X8" s="125"/>
      <c r="Y8" s="125"/>
    </row>
    <row r="9" spans="2:30" ht="6" customHeight="1">
      <c r="B9" s="24"/>
      <c r="C9" s="23"/>
      <c r="D9" s="23"/>
      <c r="E9" s="23"/>
      <c r="F9" s="23"/>
      <c r="G9" s="324" t="str">
        <f>ข้อมูลทำเนียบ!C4</f>
        <v xml:space="preserve">สวป.สน.ดินแดง บก.น.1 </v>
      </c>
      <c r="H9" s="324"/>
      <c r="I9" s="324"/>
      <c r="J9" s="325"/>
      <c r="L9" s="24"/>
      <c r="M9" s="23"/>
      <c r="N9" s="23"/>
      <c r="O9" s="23"/>
      <c r="P9" s="23"/>
      <c r="Q9" s="324" t="str">
        <f>ข้อมูลทำเนียบ!C5</f>
        <v>รอง สวป.สน.ห้วยขวาง บก.น.1</v>
      </c>
      <c r="R9" s="324"/>
      <c r="S9" s="324"/>
      <c r="T9" s="325"/>
      <c r="V9" s="124"/>
      <c r="W9" s="47"/>
      <c r="X9" s="125"/>
      <c r="Y9" s="125"/>
    </row>
    <row r="10" spans="2:30" ht="12" customHeight="1">
      <c r="B10" s="14"/>
      <c r="C10" s="22"/>
      <c r="D10" s="328" t="str">
        <f>ข้อมูลทำเนียบ!L4</f>
        <v>Rh.B</v>
      </c>
      <c r="E10" s="22"/>
      <c r="F10" s="22"/>
      <c r="G10" s="324"/>
      <c r="H10" s="324"/>
      <c r="I10" s="324"/>
      <c r="J10" s="325"/>
      <c r="L10" s="14"/>
      <c r="M10" s="22"/>
      <c r="N10" s="328" t="str">
        <f>ข้อมูลทำเนียบ!L5</f>
        <v>Rh.O</v>
      </c>
      <c r="O10" s="22"/>
      <c r="P10" s="22"/>
      <c r="Q10" s="324"/>
      <c r="R10" s="324"/>
      <c r="S10" s="324"/>
      <c r="T10" s="325"/>
      <c r="V10" s="125"/>
      <c r="W10" s="125"/>
      <c r="X10" s="125"/>
      <c r="Y10" s="125"/>
    </row>
    <row r="11" spans="2:30" ht="12" customHeight="1">
      <c r="B11" s="21"/>
      <c r="C11" s="20"/>
      <c r="D11" s="329"/>
      <c r="E11" s="20"/>
      <c r="F11" s="20"/>
      <c r="G11" s="324"/>
      <c r="H11" s="324"/>
      <c r="I11" s="324"/>
      <c r="J11" s="325"/>
      <c r="L11" s="21"/>
      <c r="M11" s="20"/>
      <c r="N11" s="329"/>
      <c r="O11" s="20"/>
      <c r="P11" s="20"/>
      <c r="Q11" s="324"/>
      <c r="R11" s="324"/>
      <c r="S11" s="324"/>
      <c r="T11" s="325"/>
      <c r="V11" s="125"/>
      <c r="W11" s="125"/>
      <c r="X11" s="125"/>
      <c r="Y11" s="125"/>
    </row>
    <row r="12" spans="2:30" ht="12" customHeight="1">
      <c r="B12" s="21"/>
      <c r="C12" s="20"/>
      <c r="D12" s="330"/>
      <c r="E12" s="20"/>
      <c r="F12" s="20"/>
      <c r="G12" s="324"/>
      <c r="H12" s="324"/>
      <c r="I12" s="324"/>
      <c r="J12" s="325"/>
      <c r="L12" s="21"/>
      <c r="M12" s="20"/>
      <c r="N12" s="330"/>
      <c r="O12" s="20"/>
      <c r="P12" s="20"/>
      <c r="Q12" s="324"/>
      <c r="R12" s="324"/>
      <c r="S12" s="324"/>
      <c r="T12" s="325"/>
      <c r="V12" s="125"/>
      <c r="W12" s="125"/>
      <c r="X12" s="125"/>
      <c r="Y12" s="125"/>
    </row>
    <row r="13" spans="2:30" ht="6" customHeight="1" thickBot="1">
      <c r="B13" s="19"/>
      <c r="C13" s="18"/>
      <c r="D13" s="18"/>
      <c r="E13" s="18"/>
      <c r="F13" s="18"/>
      <c r="G13" s="326"/>
      <c r="H13" s="326"/>
      <c r="I13" s="326"/>
      <c r="J13" s="327"/>
      <c r="L13" s="19"/>
      <c r="M13" s="18"/>
      <c r="N13" s="18"/>
      <c r="O13" s="18"/>
      <c r="P13" s="18"/>
      <c r="Q13" s="326"/>
      <c r="R13" s="326"/>
      <c r="S13" s="326"/>
      <c r="T13" s="327"/>
      <c r="V13" s="125"/>
      <c r="W13" s="125"/>
      <c r="X13" s="125"/>
      <c r="Y13" s="125"/>
    </row>
    <row r="14" spans="2:30" ht="3" customHeight="1" thickTop="1" thickBot="1"/>
    <row r="15" spans="2:30" s="259" customFormat="1" ht="37.5" customHeight="1" thickTop="1">
      <c r="B15" s="257"/>
      <c r="C15" s="258"/>
      <c r="D15" s="258"/>
      <c r="E15" s="258"/>
      <c r="F15" s="258"/>
      <c r="G15" s="316" t="str">
        <f>G2</f>
        <v>ปรับพื้นฐานยุทธวิธีตำรวจระดับครูฝึก(สัญญาบัตร) รุ่นที่2</v>
      </c>
      <c r="H15" s="316"/>
      <c r="I15" s="316"/>
      <c r="J15" s="317"/>
      <c r="L15" s="257"/>
      <c r="M15" s="258"/>
      <c r="N15" s="258"/>
      <c r="O15" s="258"/>
      <c r="P15" s="258"/>
      <c r="Q15" s="316" t="str">
        <f>G2</f>
        <v>ปรับพื้นฐานยุทธวิธีตำรวจระดับครูฝึก(สัญญาบัตร) รุ่นที่2</v>
      </c>
      <c r="R15" s="316"/>
      <c r="S15" s="316"/>
      <c r="T15" s="317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</row>
    <row r="16" spans="2:30" s="262" customFormat="1" ht="16.5" customHeight="1">
      <c r="B16" s="260"/>
      <c r="C16" s="261"/>
      <c r="D16" s="261"/>
      <c r="E16" s="261"/>
      <c r="F16" s="261"/>
      <c r="G16" s="318" t="str">
        <f>G3</f>
        <v xml:space="preserve"> ประจำปีงบประมาณ 2562</v>
      </c>
      <c r="H16" s="318"/>
      <c r="I16" s="318"/>
      <c r="J16" s="319"/>
      <c r="L16" s="260"/>
      <c r="M16" s="261"/>
      <c r="N16" s="261"/>
      <c r="O16" s="261"/>
      <c r="P16" s="261"/>
      <c r="Q16" s="318" t="str">
        <f>G16</f>
        <v xml:space="preserve"> ประจำปีงบประมาณ 2562</v>
      </c>
      <c r="R16" s="318"/>
      <c r="S16" s="318"/>
      <c r="T16" s="319"/>
      <c r="U16" s="265"/>
      <c r="V16" s="266"/>
      <c r="W16" s="266"/>
      <c r="X16" s="266"/>
      <c r="Y16" s="266"/>
      <c r="Z16" s="265"/>
      <c r="AA16" s="265"/>
      <c r="AB16" s="265"/>
      <c r="AC16" s="265"/>
      <c r="AD16" s="265"/>
    </row>
    <row r="17" spans="2:30" ht="6" customHeight="1">
      <c r="B17" s="27"/>
      <c r="C17" s="26"/>
      <c r="D17" s="26"/>
      <c r="E17" s="26"/>
      <c r="F17" s="26"/>
      <c r="G17" s="320" t="str">
        <f>ข้อมูลทำเนียบ!B6</f>
        <v>ร.ต.อ.สุวพิชญ์  อินทร์สิงห์/พิช</v>
      </c>
      <c r="H17" s="320"/>
      <c r="I17" s="320"/>
      <c r="J17" s="321"/>
      <c r="L17" s="27"/>
      <c r="M17" s="26"/>
      <c r="N17" s="26"/>
      <c r="O17" s="26"/>
      <c r="P17" s="26"/>
      <c r="Q17" s="320" t="str">
        <f>ข้อมูลทำเนียบ!B7</f>
        <v>ร.ต.อ.โสภณ  คำเวียงจันทร์/ปิ๊ก</v>
      </c>
      <c r="R17" s="320"/>
      <c r="S17" s="320"/>
      <c r="T17" s="321"/>
      <c r="V17" s="124"/>
      <c r="W17" s="47"/>
      <c r="X17" s="125"/>
      <c r="Y17" s="125"/>
    </row>
    <row r="18" spans="2:30" ht="12" customHeight="1">
      <c r="B18" s="27"/>
      <c r="C18" s="26"/>
      <c r="D18" s="25">
        <v>1</v>
      </c>
      <c r="E18" s="26"/>
      <c r="F18" s="26"/>
      <c r="G18" s="320"/>
      <c r="H18" s="320"/>
      <c r="I18" s="320"/>
      <c r="J18" s="321"/>
      <c r="L18" s="27"/>
      <c r="M18" s="26"/>
      <c r="N18" s="25">
        <v>1</v>
      </c>
      <c r="O18" s="26"/>
      <c r="P18" s="26"/>
      <c r="Q18" s="320"/>
      <c r="R18" s="320"/>
      <c r="S18" s="320"/>
      <c r="T18" s="321"/>
      <c r="V18" s="124"/>
      <c r="W18" s="47"/>
      <c r="X18" s="125"/>
      <c r="Y18" s="125"/>
    </row>
    <row r="19" spans="2:30" ht="12" customHeight="1">
      <c r="B19" s="24"/>
      <c r="C19" s="23"/>
      <c r="D19" s="322">
        <v>3</v>
      </c>
      <c r="E19" s="23"/>
      <c r="F19" s="23"/>
      <c r="G19" s="320"/>
      <c r="H19" s="320"/>
      <c r="I19" s="320"/>
      <c r="J19" s="321"/>
      <c r="L19" s="24"/>
      <c r="M19" s="23"/>
      <c r="N19" s="322">
        <v>4</v>
      </c>
      <c r="O19" s="23"/>
      <c r="P19" s="23"/>
      <c r="Q19" s="320"/>
      <c r="R19" s="320"/>
      <c r="S19" s="320"/>
      <c r="T19" s="321"/>
      <c r="V19" s="124"/>
      <c r="W19" s="47"/>
      <c r="X19" s="125"/>
      <c r="Y19" s="125"/>
    </row>
    <row r="20" spans="2:30" ht="12" customHeight="1">
      <c r="B20" s="24"/>
      <c r="C20" s="23"/>
      <c r="D20" s="323"/>
      <c r="E20" s="23"/>
      <c r="F20" s="23"/>
      <c r="G20" s="320"/>
      <c r="H20" s="320"/>
      <c r="I20" s="320"/>
      <c r="J20" s="321"/>
      <c r="L20" s="24"/>
      <c r="M20" s="23"/>
      <c r="N20" s="323"/>
      <c r="O20" s="23"/>
      <c r="P20" s="23"/>
      <c r="Q20" s="320"/>
      <c r="R20" s="320"/>
      <c r="S20" s="320"/>
      <c r="T20" s="321"/>
      <c r="V20" s="124"/>
      <c r="W20" s="47"/>
      <c r="X20" s="125"/>
      <c r="Y20" s="125"/>
    </row>
    <row r="21" spans="2:30" ht="12" customHeight="1">
      <c r="B21" s="24"/>
      <c r="C21" s="23"/>
      <c r="D21" s="25"/>
      <c r="E21" s="23"/>
      <c r="F21" s="23"/>
      <c r="G21" s="320"/>
      <c r="H21" s="320"/>
      <c r="I21" s="320"/>
      <c r="J21" s="321"/>
      <c r="L21" s="24"/>
      <c r="M21" s="23"/>
      <c r="N21" s="25"/>
      <c r="O21" s="23"/>
      <c r="P21" s="23"/>
      <c r="Q21" s="320"/>
      <c r="R21" s="320"/>
      <c r="S21" s="320"/>
      <c r="T21" s="321"/>
      <c r="V21" s="124"/>
      <c r="W21" s="47"/>
      <c r="X21" s="125"/>
      <c r="Y21" s="125"/>
    </row>
    <row r="22" spans="2:30" ht="6" customHeight="1">
      <c r="B22" s="24"/>
      <c r="C22" s="23"/>
      <c r="D22" s="23"/>
      <c r="E22" s="23"/>
      <c r="F22" s="23"/>
      <c r="G22" s="324" t="str">
        <f>ข้อมูลทำเนียบ!C6</f>
        <v>รอง สวป.สน.บางเขน บก.น.2</v>
      </c>
      <c r="H22" s="324"/>
      <c r="I22" s="324"/>
      <c r="J22" s="325"/>
      <c r="L22" s="24"/>
      <c r="M22" s="23"/>
      <c r="N22" s="23"/>
      <c r="O22" s="23"/>
      <c r="P22" s="23"/>
      <c r="Q22" s="324" t="str">
        <f>ข้อมูลทำเนียบ!C7</f>
        <v xml:space="preserve">รอง สว.ธร.สน.โคกคราม บก.น.2 </v>
      </c>
      <c r="R22" s="324"/>
      <c r="S22" s="324"/>
      <c r="T22" s="325"/>
      <c r="V22" s="124"/>
      <c r="W22" s="47"/>
      <c r="X22" s="125"/>
      <c r="Y22" s="125"/>
    </row>
    <row r="23" spans="2:30" ht="12" customHeight="1">
      <c r="B23" s="14"/>
      <c r="C23" s="22"/>
      <c r="D23" s="328" t="str">
        <f>ข้อมูลทำเนียบ!L6</f>
        <v>Rh.O</v>
      </c>
      <c r="E23" s="22"/>
      <c r="F23" s="22"/>
      <c r="G23" s="324"/>
      <c r="H23" s="324"/>
      <c r="I23" s="324"/>
      <c r="J23" s="325"/>
      <c r="L23" s="14"/>
      <c r="M23" s="22"/>
      <c r="N23" s="328" t="str">
        <f>ข้อมูลทำเนียบ!L7</f>
        <v>Rh.B</v>
      </c>
      <c r="O23" s="22"/>
      <c r="P23" s="22"/>
      <c r="Q23" s="324"/>
      <c r="R23" s="324"/>
      <c r="S23" s="324"/>
      <c r="T23" s="325"/>
      <c r="V23" s="125"/>
      <c r="W23" s="125"/>
      <c r="X23" s="125"/>
      <c r="Y23" s="125"/>
    </row>
    <row r="24" spans="2:30" ht="12" customHeight="1">
      <c r="B24" s="21"/>
      <c r="C24" s="20"/>
      <c r="D24" s="329"/>
      <c r="E24" s="20"/>
      <c r="F24" s="20"/>
      <c r="G24" s="324"/>
      <c r="H24" s="324"/>
      <c r="I24" s="324"/>
      <c r="J24" s="325"/>
      <c r="L24" s="21"/>
      <c r="M24" s="20"/>
      <c r="N24" s="329"/>
      <c r="O24" s="20"/>
      <c r="P24" s="20"/>
      <c r="Q24" s="324"/>
      <c r="R24" s="324"/>
      <c r="S24" s="324"/>
      <c r="T24" s="325"/>
      <c r="V24" s="125"/>
      <c r="W24" s="125"/>
      <c r="X24" s="125"/>
      <c r="Y24" s="125"/>
    </row>
    <row r="25" spans="2:30" ht="12" customHeight="1">
      <c r="B25" s="21"/>
      <c r="C25" s="20"/>
      <c r="D25" s="330"/>
      <c r="E25" s="20"/>
      <c r="F25" s="20"/>
      <c r="G25" s="324"/>
      <c r="H25" s="324"/>
      <c r="I25" s="324"/>
      <c r="J25" s="325"/>
      <c r="L25" s="21"/>
      <c r="M25" s="20"/>
      <c r="N25" s="330"/>
      <c r="O25" s="20"/>
      <c r="P25" s="20"/>
      <c r="Q25" s="324"/>
      <c r="R25" s="324"/>
      <c r="S25" s="324"/>
      <c r="T25" s="325"/>
      <c r="V25" s="125"/>
      <c r="W25" s="125"/>
      <c r="X25" s="125"/>
      <c r="Y25" s="125"/>
    </row>
    <row r="26" spans="2:30" ht="6" customHeight="1" thickBot="1">
      <c r="B26" s="19"/>
      <c r="C26" s="18"/>
      <c r="D26" s="18"/>
      <c r="E26" s="18"/>
      <c r="F26" s="18"/>
      <c r="G26" s="326"/>
      <c r="H26" s="326"/>
      <c r="I26" s="326"/>
      <c r="J26" s="327"/>
      <c r="L26" s="19"/>
      <c r="M26" s="18"/>
      <c r="N26" s="18"/>
      <c r="O26" s="18"/>
      <c r="P26" s="18"/>
      <c r="Q26" s="326"/>
      <c r="R26" s="326"/>
      <c r="S26" s="326"/>
      <c r="T26" s="327"/>
      <c r="V26" s="125"/>
      <c r="W26" s="125"/>
      <c r="X26" s="125"/>
      <c r="Y26" s="125"/>
    </row>
    <row r="27" spans="2:30" ht="3" customHeight="1" thickTop="1" thickBot="1"/>
    <row r="28" spans="2:30" s="259" customFormat="1" ht="39" thickTop="1">
      <c r="B28" s="257"/>
      <c r="C28" s="258"/>
      <c r="D28" s="258"/>
      <c r="E28" s="258"/>
      <c r="F28" s="258"/>
      <c r="G28" s="316" t="str">
        <f>G2</f>
        <v>ปรับพื้นฐานยุทธวิธีตำรวจระดับครูฝึก(สัญญาบัตร) รุ่นที่2</v>
      </c>
      <c r="H28" s="316"/>
      <c r="I28" s="316"/>
      <c r="J28" s="317"/>
      <c r="L28" s="257"/>
      <c r="M28" s="258"/>
      <c r="N28" s="258"/>
      <c r="O28" s="258"/>
      <c r="P28" s="258"/>
      <c r="Q28" s="316" t="str">
        <f>G2</f>
        <v>ปรับพื้นฐานยุทธวิธีตำรวจระดับครูฝึก(สัญญาบัตร) รุ่นที่2</v>
      </c>
      <c r="R28" s="316"/>
      <c r="S28" s="316"/>
      <c r="T28" s="317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</row>
    <row r="29" spans="2:30" s="262" customFormat="1" ht="16.5" customHeight="1">
      <c r="B29" s="260"/>
      <c r="C29" s="261"/>
      <c r="D29" s="261"/>
      <c r="E29" s="261"/>
      <c r="F29" s="261"/>
      <c r="G29" s="318" t="str">
        <f>G16</f>
        <v xml:space="preserve"> ประจำปีงบประมาณ 2562</v>
      </c>
      <c r="H29" s="318"/>
      <c r="I29" s="318"/>
      <c r="J29" s="319"/>
      <c r="L29" s="260"/>
      <c r="M29" s="261"/>
      <c r="N29" s="261"/>
      <c r="O29" s="261"/>
      <c r="P29" s="261"/>
      <c r="Q29" s="318" t="str">
        <f>Q16</f>
        <v xml:space="preserve"> ประจำปีงบประมาณ 2562</v>
      </c>
      <c r="R29" s="318"/>
      <c r="S29" s="318"/>
      <c r="T29" s="319"/>
      <c r="U29" s="265"/>
      <c r="V29" s="266"/>
      <c r="W29" s="266"/>
      <c r="X29" s="266"/>
      <c r="Y29" s="266"/>
      <c r="Z29" s="265"/>
      <c r="AA29" s="265"/>
      <c r="AB29" s="265"/>
      <c r="AC29" s="265"/>
      <c r="AD29" s="265"/>
    </row>
    <row r="30" spans="2:30" ht="6" customHeight="1">
      <c r="B30" s="27"/>
      <c r="C30" s="26"/>
      <c r="D30" s="26"/>
      <c r="E30" s="26"/>
      <c r="F30" s="26"/>
      <c r="G30" s="320" t="str">
        <f>ข้อมูลทำเนียบ!B8</f>
        <v>ร.ต.อ.มณฑล  แดงสมิง/แดง</v>
      </c>
      <c r="H30" s="320"/>
      <c r="I30" s="320"/>
      <c r="J30" s="321"/>
      <c r="L30" s="27"/>
      <c r="M30" s="26"/>
      <c r="N30" s="26"/>
      <c r="O30" s="26"/>
      <c r="P30" s="26"/>
      <c r="Q30" s="320" t="str">
        <f>ข้อมูลทำเนียบ!B9</f>
        <v>ร.ต.อ.ณภัทรพงษ์  ขันธะหัตถ์/พงษ์</v>
      </c>
      <c r="R30" s="320"/>
      <c r="S30" s="320"/>
      <c r="T30" s="321"/>
      <c r="V30" s="124"/>
      <c r="W30" s="47"/>
      <c r="X30" s="125"/>
      <c r="Y30" s="125"/>
    </row>
    <row r="31" spans="2:30" ht="12" customHeight="1">
      <c r="B31" s="27"/>
      <c r="C31" s="26"/>
      <c r="D31" s="25">
        <v>1</v>
      </c>
      <c r="E31" s="26"/>
      <c r="F31" s="26"/>
      <c r="G31" s="320"/>
      <c r="H31" s="320"/>
      <c r="I31" s="320"/>
      <c r="J31" s="321"/>
      <c r="L31" s="27"/>
      <c r="M31" s="26"/>
      <c r="N31" s="25">
        <v>1</v>
      </c>
      <c r="O31" s="26"/>
      <c r="P31" s="26"/>
      <c r="Q31" s="320"/>
      <c r="R31" s="320"/>
      <c r="S31" s="320"/>
      <c r="T31" s="321"/>
      <c r="V31" s="124"/>
      <c r="W31" s="47"/>
      <c r="X31" s="125"/>
      <c r="Y31" s="125"/>
    </row>
    <row r="32" spans="2:30" ht="12" customHeight="1">
      <c r="B32" s="24"/>
      <c r="C32" s="23"/>
      <c r="D32" s="322">
        <v>5</v>
      </c>
      <c r="E32" s="23"/>
      <c r="F32" s="23"/>
      <c r="G32" s="320"/>
      <c r="H32" s="320"/>
      <c r="I32" s="320"/>
      <c r="J32" s="321"/>
      <c r="L32" s="24"/>
      <c r="M32" s="23"/>
      <c r="N32" s="322">
        <v>6</v>
      </c>
      <c r="O32" s="23"/>
      <c r="P32" s="23"/>
      <c r="Q32" s="320"/>
      <c r="R32" s="320"/>
      <c r="S32" s="320"/>
      <c r="T32" s="321"/>
      <c r="V32" s="124"/>
      <c r="W32" s="47"/>
      <c r="X32" s="125"/>
      <c r="Y32" s="125"/>
    </row>
    <row r="33" spans="2:30" ht="12" customHeight="1">
      <c r="B33" s="24"/>
      <c r="C33" s="23"/>
      <c r="D33" s="323"/>
      <c r="E33" s="23"/>
      <c r="F33" s="23"/>
      <c r="G33" s="320"/>
      <c r="H33" s="320"/>
      <c r="I33" s="320"/>
      <c r="J33" s="321"/>
      <c r="L33" s="24"/>
      <c r="M33" s="23"/>
      <c r="N33" s="323"/>
      <c r="O33" s="23"/>
      <c r="P33" s="23"/>
      <c r="Q33" s="320"/>
      <c r="R33" s="320"/>
      <c r="S33" s="320"/>
      <c r="T33" s="321"/>
      <c r="V33" s="124"/>
      <c r="W33" s="47"/>
      <c r="X33" s="125"/>
      <c r="Y33" s="125"/>
    </row>
    <row r="34" spans="2:30" ht="12" customHeight="1">
      <c r="B34" s="24"/>
      <c r="C34" s="23"/>
      <c r="D34" s="25"/>
      <c r="E34" s="23"/>
      <c r="F34" s="23"/>
      <c r="G34" s="320"/>
      <c r="H34" s="320"/>
      <c r="I34" s="320"/>
      <c r="J34" s="321"/>
      <c r="L34" s="24"/>
      <c r="M34" s="23"/>
      <c r="N34" s="25"/>
      <c r="O34" s="23"/>
      <c r="P34" s="23"/>
      <c r="Q34" s="320"/>
      <c r="R34" s="320"/>
      <c r="S34" s="320"/>
      <c r="T34" s="321"/>
      <c r="V34" s="124"/>
      <c r="W34" s="47"/>
      <c r="X34" s="125"/>
      <c r="Y34" s="125"/>
    </row>
    <row r="35" spans="2:30" ht="6" customHeight="1">
      <c r="B35" s="24"/>
      <c r="C35" s="23"/>
      <c r="D35" s="23"/>
      <c r="E35" s="23"/>
      <c r="F35" s="23"/>
      <c r="G35" s="324" t="str">
        <f>ข้อมูลทำเนียบ!C8</f>
        <v>รอง สวป.สน.มีนบุรี บก.น.3</v>
      </c>
      <c r="H35" s="324"/>
      <c r="I35" s="324"/>
      <c r="J35" s="325"/>
      <c r="L35" s="24"/>
      <c r="M35" s="23"/>
      <c r="N35" s="23"/>
      <c r="O35" s="23"/>
      <c r="P35" s="23"/>
      <c r="Q35" s="324" t="str">
        <f>ข้อมูลทำเนียบ!C9</f>
        <v>รอง สวป.สน.ร่มเกล้า บก.น.3</v>
      </c>
      <c r="R35" s="324"/>
      <c r="S35" s="324"/>
      <c r="T35" s="325"/>
      <c r="V35" s="124"/>
      <c r="W35" s="47"/>
      <c r="X35" s="125"/>
      <c r="Y35" s="125"/>
    </row>
    <row r="36" spans="2:30" ht="12" customHeight="1">
      <c r="B36" s="14"/>
      <c r="C36" s="22"/>
      <c r="D36" s="328" t="str">
        <f>ข้อมูลทำเนียบ!L8</f>
        <v>Rh.B</v>
      </c>
      <c r="E36" s="22"/>
      <c r="F36" s="22"/>
      <c r="G36" s="324"/>
      <c r="H36" s="324"/>
      <c r="I36" s="324"/>
      <c r="J36" s="325"/>
      <c r="L36" s="14"/>
      <c r="M36" s="22"/>
      <c r="N36" s="328" t="str">
        <f>ข้อมูลทำเนียบ!L9</f>
        <v>Rh.B</v>
      </c>
      <c r="O36" s="22"/>
      <c r="P36" s="22"/>
      <c r="Q36" s="324"/>
      <c r="R36" s="324"/>
      <c r="S36" s="324"/>
      <c r="T36" s="325"/>
      <c r="V36" s="125"/>
      <c r="W36" s="125"/>
      <c r="X36" s="125"/>
      <c r="Y36" s="125"/>
    </row>
    <row r="37" spans="2:30" ht="12" customHeight="1">
      <c r="B37" s="21"/>
      <c r="C37" s="20"/>
      <c r="D37" s="329"/>
      <c r="E37" s="20"/>
      <c r="F37" s="20"/>
      <c r="G37" s="324"/>
      <c r="H37" s="324"/>
      <c r="I37" s="324"/>
      <c r="J37" s="325"/>
      <c r="L37" s="21"/>
      <c r="M37" s="20"/>
      <c r="N37" s="329"/>
      <c r="O37" s="20"/>
      <c r="P37" s="20"/>
      <c r="Q37" s="324"/>
      <c r="R37" s="324"/>
      <c r="S37" s="324"/>
      <c r="T37" s="325"/>
      <c r="V37" s="125"/>
      <c r="W37" s="125"/>
      <c r="X37" s="125"/>
      <c r="Y37" s="125"/>
    </row>
    <row r="38" spans="2:30" ht="12" customHeight="1">
      <c r="B38" s="21"/>
      <c r="C38" s="20"/>
      <c r="D38" s="330"/>
      <c r="E38" s="20"/>
      <c r="F38" s="20"/>
      <c r="G38" s="324"/>
      <c r="H38" s="324"/>
      <c r="I38" s="324"/>
      <c r="J38" s="325"/>
      <c r="L38" s="21"/>
      <c r="M38" s="20"/>
      <c r="N38" s="330"/>
      <c r="O38" s="20"/>
      <c r="P38" s="20"/>
      <c r="Q38" s="324"/>
      <c r="R38" s="324"/>
      <c r="S38" s="324"/>
      <c r="T38" s="325"/>
      <c r="V38" s="125"/>
      <c r="W38" s="125"/>
      <c r="X38" s="125"/>
      <c r="Y38" s="125"/>
    </row>
    <row r="39" spans="2:30" ht="6" customHeight="1" thickBot="1">
      <c r="B39" s="19"/>
      <c r="C39" s="18"/>
      <c r="D39" s="18"/>
      <c r="E39" s="18"/>
      <c r="F39" s="18"/>
      <c r="G39" s="326"/>
      <c r="H39" s="326"/>
      <c r="I39" s="326"/>
      <c r="J39" s="327"/>
      <c r="L39" s="19"/>
      <c r="M39" s="18"/>
      <c r="N39" s="18"/>
      <c r="O39" s="18"/>
      <c r="P39" s="18"/>
      <c r="Q39" s="326"/>
      <c r="R39" s="326"/>
      <c r="S39" s="326"/>
      <c r="T39" s="327"/>
      <c r="V39" s="125"/>
      <c r="W39" s="125"/>
      <c r="X39" s="125"/>
      <c r="Y39" s="125"/>
    </row>
    <row r="40" spans="2:30" ht="3" customHeight="1" thickTop="1" thickBot="1"/>
    <row r="41" spans="2:30" s="259" customFormat="1" ht="39" thickTop="1">
      <c r="B41" s="257"/>
      <c r="C41" s="258"/>
      <c r="D41" s="258"/>
      <c r="E41" s="258"/>
      <c r="F41" s="258"/>
      <c r="G41" s="316" t="str">
        <f>G2</f>
        <v>ปรับพื้นฐานยุทธวิธีตำรวจระดับครูฝึก(สัญญาบัตร) รุ่นที่2</v>
      </c>
      <c r="H41" s="316"/>
      <c r="I41" s="316"/>
      <c r="J41" s="317"/>
      <c r="L41" s="257"/>
      <c r="M41" s="258"/>
      <c r="N41" s="258"/>
      <c r="O41" s="258"/>
      <c r="P41" s="258"/>
      <c r="Q41" s="316" t="str">
        <f>G2</f>
        <v>ปรับพื้นฐานยุทธวิธีตำรวจระดับครูฝึก(สัญญาบัตร) รุ่นที่2</v>
      </c>
      <c r="R41" s="316"/>
      <c r="S41" s="316"/>
      <c r="T41" s="317"/>
      <c r="U41" s="264"/>
      <c r="V41" s="264"/>
      <c r="W41" s="264"/>
      <c r="X41" s="264"/>
      <c r="Y41" s="264"/>
      <c r="Z41" s="264"/>
      <c r="AA41" s="264"/>
      <c r="AB41" s="264"/>
      <c r="AC41" s="264"/>
      <c r="AD41" s="264"/>
    </row>
    <row r="42" spans="2:30" s="262" customFormat="1" ht="16.5" customHeight="1">
      <c r="B42" s="260"/>
      <c r="C42" s="261"/>
      <c r="D42" s="261"/>
      <c r="E42" s="261"/>
      <c r="F42" s="261"/>
      <c r="G42" s="318" t="str">
        <f>G29</f>
        <v xml:space="preserve"> ประจำปีงบประมาณ 2562</v>
      </c>
      <c r="H42" s="318"/>
      <c r="I42" s="318"/>
      <c r="J42" s="319"/>
      <c r="L42" s="260"/>
      <c r="M42" s="261"/>
      <c r="N42" s="261"/>
      <c r="O42" s="261"/>
      <c r="P42" s="261"/>
      <c r="Q42" s="318" t="str">
        <f>Q29</f>
        <v xml:space="preserve"> ประจำปีงบประมาณ 2562</v>
      </c>
      <c r="R42" s="318"/>
      <c r="S42" s="318"/>
      <c r="T42" s="319"/>
      <c r="U42" s="265"/>
      <c r="V42" s="266"/>
      <c r="W42" s="266"/>
      <c r="X42" s="266"/>
      <c r="Y42" s="266"/>
      <c r="Z42" s="265"/>
      <c r="AA42" s="265"/>
      <c r="AB42" s="265"/>
      <c r="AC42" s="265"/>
      <c r="AD42" s="265"/>
    </row>
    <row r="43" spans="2:30" ht="6" customHeight="1">
      <c r="B43" s="27"/>
      <c r="C43" s="26"/>
      <c r="D43" s="26"/>
      <c r="E43" s="26"/>
      <c r="F43" s="26"/>
      <c r="G43" s="320" t="str">
        <f>ข้อมูลทำเนียบ!B10</f>
        <v>พ.ต.ท.ณรัฐช์พงศ์  อุดมศรี/ต้อม</v>
      </c>
      <c r="H43" s="320"/>
      <c r="I43" s="320"/>
      <c r="J43" s="321"/>
      <c r="L43" s="27"/>
      <c r="M43" s="26"/>
      <c r="N43" s="26"/>
      <c r="O43" s="26"/>
      <c r="P43" s="26"/>
      <c r="Q43" s="320" t="str">
        <f>ข้อมูลทำเนียบ!B11</f>
        <v>ร.ต.ท.กฤษฎา  ซอประเสริฐ/จี๊</v>
      </c>
      <c r="R43" s="320"/>
      <c r="S43" s="320"/>
      <c r="T43" s="321"/>
      <c r="V43" s="124"/>
      <c r="W43" s="47"/>
      <c r="X43" s="125"/>
      <c r="Y43" s="125"/>
    </row>
    <row r="44" spans="2:30" ht="12" customHeight="1">
      <c r="B44" s="27"/>
      <c r="C44" s="26"/>
      <c r="D44" s="25">
        <v>1</v>
      </c>
      <c r="E44" s="26"/>
      <c r="F44" s="26"/>
      <c r="G44" s="320"/>
      <c r="H44" s="320"/>
      <c r="I44" s="320"/>
      <c r="J44" s="321"/>
      <c r="L44" s="27"/>
      <c r="M44" s="26"/>
      <c r="N44" s="25">
        <v>1</v>
      </c>
      <c r="O44" s="26"/>
      <c r="P44" s="26"/>
      <c r="Q44" s="320"/>
      <c r="R44" s="320"/>
      <c r="S44" s="320"/>
      <c r="T44" s="321"/>
      <c r="V44" s="124"/>
      <c r="W44" s="47"/>
      <c r="X44" s="125"/>
      <c r="Y44" s="125"/>
    </row>
    <row r="45" spans="2:30" ht="12" customHeight="1">
      <c r="B45" s="24"/>
      <c r="C45" s="23"/>
      <c r="D45" s="322">
        <v>7</v>
      </c>
      <c r="E45" s="23"/>
      <c r="F45" s="23"/>
      <c r="G45" s="320"/>
      <c r="H45" s="320"/>
      <c r="I45" s="320"/>
      <c r="J45" s="321"/>
      <c r="L45" s="24"/>
      <c r="M45" s="23"/>
      <c r="N45" s="322">
        <v>8</v>
      </c>
      <c r="O45" s="23"/>
      <c r="P45" s="23"/>
      <c r="Q45" s="320"/>
      <c r="R45" s="320"/>
      <c r="S45" s="320"/>
      <c r="T45" s="321"/>
      <c r="V45" s="124"/>
      <c r="W45" s="47"/>
      <c r="X45" s="125"/>
      <c r="Y45" s="125"/>
    </row>
    <row r="46" spans="2:30" ht="12" customHeight="1">
      <c r="B46" s="24"/>
      <c r="C46" s="23"/>
      <c r="D46" s="323"/>
      <c r="E46" s="23"/>
      <c r="F46" s="23"/>
      <c r="G46" s="320"/>
      <c r="H46" s="320"/>
      <c r="I46" s="320"/>
      <c r="J46" s="321"/>
      <c r="L46" s="24"/>
      <c r="M46" s="23"/>
      <c r="N46" s="323"/>
      <c r="O46" s="23"/>
      <c r="P46" s="23"/>
      <c r="Q46" s="320"/>
      <c r="R46" s="320"/>
      <c r="S46" s="320"/>
      <c r="T46" s="321"/>
      <c r="V46" s="124"/>
      <c r="W46" s="47"/>
      <c r="X46" s="125"/>
      <c r="Y46" s="125"/>
    </row>
    <row r="47" spans="2:30" ht="12" customHeight="1">
      <c r="B47" s="24"/>
      <c r="C47" s="23"/>
      <c r="D47" s="25"/>
      <c r="E47" s="23"/>
      <c r="F47" s="23"/>
      <c r="G47" s="320"/>
      <c r="H47" s="320"/>
      <c r="I47" s="320"/>
      <c r="J47" s="321"/>
      <c r="L47" s="24"/>
      <c r="M47" s="23"/>
      <c r="N47" s="25"/>
      <c r="O47" s="23"/>
      <c r="P47" s="23"/>
      <c r="Q47" s="320"/>
      <c r="R47" s="320"/>
      <c r="S47" s="320"/>
      <c r="T47" s="321"/>
      <c r="V47" s="124"/>
      <c r="W47" s="47"/>
      <c r="X47" s="125"/>
      <c r="Y47" s="125"/>
    </row>
    <row r="48" spans="2:30" ht="6" customHeight="1">
      <c r="B48" s="24"/>
      <c r="C48" s="23"/>
      <c r="D48" s="23"/>
      <c r="E48" s="23"/>
      <c r="F48" s="23"/>
      <c r="G48" s="320"/>
      <c r="H48" s="320"/>
      <c r="I48" s="320"/>
      <c r="J48" s="321"/>
      <c r="L48" s="24"/>
      <c r="M48" s="23"/>
      <c r="N48" s="23"/>
      <c r="O48" s="23"/>
      <c r="P48" s="23"/>
      <c r="Q48" s="320"/>
      <c r="R48" s="320"/>
      <c r="S48" s="320"/>
      <c r="T48" s="321"/>
      <c r="V48" s="124"/>
      <c r="W48" s="47"/>
      <c r="X48" s="125"/>
      <c r="Y48" s="125"/>
    </row>
    <row r="49" spans="2:30" ht="6" customHeight="1">
      <c r="B49" s="24"/>
      <c r="C49" s="23"/>
      <c r="D49" s="23"/>
      <c r="E49" s="23"/>
      <c r="F49" s="23"/>
      <c r="G49" s="324" t="str">
        <f>ข้อมูลทำเนียบ!C10</f>
        <v>รอง ผกก.(ป.) สน.บึงกุ่ม บก.น.4</v>
      </c>
      <c r="H49" s="324"/>
      <c r="I49" s="324"/>
      <c r="J49" s="325"/>
      <c r="L49" s="24"/>
      <c r="M49" s="23"/>
      <c r="N49" s="23"/>
      <c r="O49" s="23"/>
      <c r="P49" s="23"/>
      <c r="Q49" s="324" t="str">
        <f>ข้อมูลทำเนียบ!C11</f>
        <v>รอง สว.(สอบสวน) สน.บางชัน บก.น.4</v>
      </c>
      <c r="R49" s="324"/>
      <c r="S49" s="324"/>
      <c r="T49" s="325"/>
      <c r="V49" s="124"/>
      <c r="W49" s="47"/>
      <c r="X49" s="125"/>
      <c r="Y49" s="125"/>
    </row>
    <row r="50" spans="2:30" ht="12" customHeight="1">
      <c r="B50" s="14"/>
      <c r="C50" s="22"/>
      <c r="D50" s="328" t="str">
        <f>ข้อมูลทำเนียบ!L10</f>
        <v>Rh.O</v>
      </c>
      <c r="E50" s="22"/>
      <c r="F50" s="22"/>
      <c r="G50" s="324"/>
      <c r="H50" s="324"/>
      <c r="I50" s="324"/>
      <c r="J50" s="325"/>
      <c r="L50" s="14"/>
      <c r="M50" s="22"/>
      <c r="N50" s="328" t="str">
        <f>ข้อมูลทำเนียบ!L11</f>
        <v>Rh.A</v>
      </c>
      <c r="O50" s="22"/>
      <c r="P50" s="22"/>
      <c r="Q50" s="324"/>
      <c r="R50" s="324"/>
      <c r="S50" s="324"/>
      <c r="T50" s="325"/>
      <c r="V50" s="125"/>
      <c r="W50" s="125"/>
      <c r="X50" s="125"/>
      <c r="Y50" s="125"/>
    </row>
    <row r="51" spans="2:30" ht="12" customHeight="1">
      <c r="B51" s="21"/>
      <c r="C51" s="20"/>
      <c r="D51" s="329"/>
      <c r="E51" s="20"/>
      <c r="F51" s="20"/>
      <c r="G51" s="324"/>
      <c r="H51" s="324"/>
      <c r="I51" s="324"/>
      <c r="J51" s="325"/>
      <c r="L51" s="21"/>
      <c r="M51" s="20"/>
      <c r="N51" s="329"/>
      <c r="O51" s="20"/>
      <c r="P51" s="20"/>
      <c r="Q51" s="324"/>
      <c r="R51" s="324"/>
      <c r="S51" s="324"/>
      <c r="T51" s="325"/>
      <c r="V51" s="125"/>
      <c r="W51" s="125"/>
      <c r="X51" s="125"/>
      <c r="Y51" s="125"/>
    </row>
    <row r="52" spans="2:30" ht="12" customHeight="1">
      <c r="B52" s="21"/>
      <c r="C52" s="20"/>
      <c r="D52" s="330"/>
      <c r="E52" s="20"/>
      <c r="F52" s="20"/>
      <c r="G52" s="324"/>
      <c r="H52" s="324"/>
      <c r="I52" s="324"/>
      <c r="J52" s="325"/>
      <c r="L52" s="21"/>
      <c r="M52" s="20"/>
      <c r="N52" s="330"/>
      <c r="O52" s="20"/>
      <c r="P52" s="20"/>
      <c r="Q52" s="324"/>
      <c r="R52" s="324"/>
      <c r="S52" s="324"/>
      <c r="T52" s="325"/>
      <c r="V52" s="125"/>
      <c r="W52" s="125"/>
      <c r="X52" s="125"/>
      <c r="Y52" s="125"/>
    </row>
    <row r="53" spans="2:30" ht="6" customHeight="1" thickBot="1">
      <c r="B53" s="19"/>
      <c r="C53" s="18"/>
      <c r="D53" s="18"/>
      <c r="E53" s="18"/>
      <c r="F53" s="18"/>
      <c r="G53" s="326"/>
      <c r="H53" s="326"/>
      <c r="I53" s="326"/>
      <c r="J53" s="327"/>
      <c r="L53" s="19"/>
      <c r="M53" s="18"/>
      <c r="N53" s="18"/>
      <c r="O53" s="18"/>
      <c r="P53" s="18"/>
      <c r="Q53" s="326"/>
      <c r="R53" s="326"/>
      <c r="S53" s="326"/>
      <c r="T53" s="327"/>
      <c r="V53" s="125"/>
      <c r="W53" s="125"/>
      <c r="X53" s="125"/>
      <c r="Y53" s="125"/>
    </row>
    <row r="54" spans="2:30" ht="3" customHeight="1" thickTop="1" thickBot="1"/>
    <row r="55" spans="2:30" s="259" customFormat="1" ht="39" thickTop="1">
      <c r="B55" s="257"/>
      <c r="C55" s="258"/>
      <c r="D55" s="258"/>
      <c r="E55" s="258"/>
      <c r="F55" s="258"/>
      <c r="G55" s="316" t="str">
        <f>G2</f>
        <v>ปรับพื้นฐานยุทธวิธีตำรวจระดับครูฝึก(สัญญาบัตร) รุ่นที่2</v>
      </c>
      <c r="H55" s="316"/>
      <c r="I55" s="316"/>
      <c r="J55" s="317"/>
      <c r="L55" s="257"/>
      <c r="M55" s="258"/>
      <c r="N55" s="258"/>
      <c r="O55" s="258"/>
      <c r="P55" s="258"/>
      <c r="Q55" s="316" t="str">
        <f>G2</f>
        <v>ปรับพื้นฐานยุทธวิธีตำรวจระดับครูฝึก(สัญญาบัตร) รุ่นที่2</v>
      </c>
      <c r="R55" s="316"/>
      <c r="S55" s="316"/>
      <c r="T55" s="317"/>
      <c r="U55" s="264"/>
      <c r="V55" s="264"/>
      <c r="W55" s="264"/>
      <c r="X55" s="264"/>
      <c r="Y55" s="264"/>
      <c r="Z55" s="264"/>
      <c r="AA55" s="264"/>
      <c r="AB55" s="264"/>
      <c r="AC55" s="264"/>
      <c r="AD55" s="264"/>
    </row>
    <row r="56" spans="2:30" s="262" customFormat="1" ht="16.5" customHeight="1">
      <c r="B56" s="260"/>
      <c r="C56" s="261"/>
      <c r="D56" s="261"/>
      <c r="E56" s="261"/>
      <c r="F56" s="261"/>
      <c r="G56" s="318" t="str">
        <f>G42</f>
        <v xml:space="preserve"> ประจำปีงบประมาณ 2562</v>
      </c>
      <c r="H56" s="318"/>
      <c r="I56" s="318"/>
      <c r="J56" s="319"/>
      <c r="L56" s="260"/>
      <c r="M56" s="261"/>
      <c r="N56" s="261"/>
      <c r="O56" s="261"/>
      <c r="P56" s="261"/>
      <c r="Q56" s="318" t="str">
        <f>Q42</f>
        <v xml:space="preserve"> ประจำปีงบประมาณ 2562</v>
      </c>
      <c r="R56" s="318"/>
      <c r="S56" s="318"/>
      <c r="T56" s="319"/>
      <c r="U56" s="265"/>
      <c r="V56" s="266"/>
      <c r="W56" s="266"/>
      <c r="X56" s="266"/>
      <c r="Y56" s="266"/>
      <c r="Z56" s="265"/>
      <c r="AA56" s="265"/>
      <c r="AB56" s="265"/>
      <c r="AC56" s="265"/>
      <c r="AD56" s="265"/>
    </row>
    <row r="57" spans="2:30" ht="6" customHeight="1">
      <c r="B57" s="27"/>
      <c r="C57" s="26"/>
      <c r="D57" s="26"/>
      <c r="E57" s="26"/>
      <c r="F57" s="26"/>
      <c r="G57" s="320" t="str">
        <f>ข้อมูลทำเนียบ!B12</f>
        <v>ร.ต.อ.สรกฤช  ชุมหล่อ/พงศ์</v>
      </c>
      <c r="H57" s="320"/>
      <c r="I57" s="320"/>
      <c r="J57" s="321"/>
      <c r="L57" s="27"/>
      <c r="M57" s="26"/>
      <c r="N57" s="26"/>
      <c r="O57" s="26"/>
      <c r="P57" s="26"/>
      <c r="Q57" s="320" t="str">
        <f>ข้อมูลทำเนียบ!B13</f>
        <v>ร.ต.อ.กฤษณ  บัวหอม/ตุ้ม</v>
      </c>
      <c r="R57" s="320"/>
      <c r="S57" s="320"/>
      <c r="T57" s="321"/>
      <c r="V57" s="124"/>
      <c r="W57" s="47"/>
      <c r="X57" s="125"/>
      <c r="Y57" s="125"/>
    </row>
    <row r="58" spans="2:30" ht="12" customHeight="1">
      <c r="B58" s="27"/>
      <c r="C58" s="26"/>
      <c r="D58" s="25">
        <v>1</v>
      </c>
      <c r="E58" s="26"/>
      <c r="F58" s="26"/>
      <c r="G58" s="320"/>
      <c r="H58" s="320"/>
      <c r="I58" s="320"/>
      <c r="J58" s="321"/>
      <c r="L58" s="27"/>
      <c r="M58" s="26"/>
      <c r="N58" s="25">
        <v>1</v>
      </c>
      <c r="O58" s="26"/>
      <c r="P58" s="26"/>
      <c r="Q58" s="320"/>
      <c r="R58" s="320"/>
      <c r="S58" s="320"/>
      <c r="T58" s="321"/>
      <c r="V58" s="124"/>
      <c r="W58" s="47"/>
      <c r="X58" s="125"/>
      <c r="Y58" s="125"/>
    </row>
    <row r="59" spans="2:30" ht="12" customHeight="1">
      <c r="B59" s="24"/>
      <c r="C59" s="23"/>
      <c r="D59" s="322">
        <v>9</v>
      </c>
      <c r="E59" s="23"/>
      <c r="F59" s="23"/>
      <c r="G59" s="320"/>
      <c r="H59" s="320"/>
      <c r="I59" s="320"/>
      <c r="J59" s="321"/>
      <c r="L59" s="24"/>
      <c r="M59" s="23"/>
      <c r="N59" s="322">
        <v>10</v>
      </c>
      <c r="O59" s="23"/>
      <c r="P59" s="23"/>
      <c r="Q59" s="320"/>
      <c r="R59" s="320"/>
      <c r="S59" s="320"/>
      <c r="T59" s="321"/>
      <c r="V59" s="124"/>
      <c r="W59" s="47"/>
      <c r="X59" s="125"/>
      <c r="Y59" s="125"/>
    </row>
    <row r="60" spans="2:30" ht="12" customHeight="1">
      <c r="B60" s="24"/>
      <c r="C60" s="23"/>
      <c r="D60" s="323"/>
      <c r="E60" s="23"/>
      <c r="F60" s="23"/>
      <c r="G60" s="320"/>
      <c r="H60" s="320"/>
      <c r="I60" s="320"/>
      <c r="J60" s="321"/>
      <c r="L60" s="24"/>
      <c r="M60" s="23"/>
      <c r="N60" s="323"/>
      <c r="O60" s="23"/>
      <c r="P60" s="23"/>
      <c r="Q60" s="320"/>
      <c r="R60" s="320"/>
      <c r="S60" s="320"/>
      <c r="T60" s="321"/>
      <c r="V60" s="124"/>
      <c r="W60" s="47"/>
      <c r="X60" s="125"/>
      <c r="Y60" s="125"/>
    </row>
    <row r="61" spans="2:30" ht="9" customHeight="1">
      <c r="B61" s="24"/>
      <c r="C61" s="23"/>
      <c r="D61" s="25"/>
      <c r="E61" s="23"/>
      <c r="F61" s="23"/>
      <c r="G61" s="320"/>
      <c r="H61" s="320"/>
      <c r="I61" s="320"/>
      <c r="J61" s="321"/>
      <c r="L61" s="24"/>
      <c r="M61" s="23"/>
      <c r="N61" s="25"/>
      <c r="O61" s="23"/>
      <c r="P61" s="23"/>
      <c r="Q61" s="320"/>
      <c r="R61" s="320"/>
      <c r="S61" s="320"/>
      <c r="T61" s="321"/>
      <c r="V61" s="124"/>
      <c r="W61" s="47"/>
      <c r="X61" s="125"/>
      <c r="Y61" s="125"/>
    </row>
    <row r="62" spans="2:30" ht="6" customHeight="1">
      <c r="B62" s="24"/>
      <c r="C62" s="23"/>
      <c r="D62" s="23"/>
      <c r="E62" s="23"/>
      <c r="F62" s="23"/>
      <c r="G62" s="320"/>
      <c r="H62" s="320"/>
      <c r="I62" s="320"/>
      <c r="J62" s="321"/>
      <c r="L62" s="24"/>
      <c r="M62" s="23"/>
      <c r="N62" s="23"/>
      <c r="O62" s="23"/>
      <c r="P62" s="23"/>
      <c r="Q62" s="320"/>
      <c r="R62" s="320"/>
      <c r="S62" s="320"/>
      <c r="T62" s="321"/>
      <c r="V62" s="124"/>
      <c r="W62" s="47"/>
      <c r="X62" s="125"/>
      <c r="Y62" s="125"/>
    </row>
    <row r="63" spans="2:30" ht="6" customHeight="1">
      <c r="B63" s="24"/>
      <c r="C63" s="23"/>
      <c r="D63" s="23"/>
      <c r="E63" s="23"/>
      <c r="F63" s="23"/>
      <c r="G63" s="324" t="str">
        <f>ข้อมูลทำเนียบ!C12</f>
        <v>รอง สวป.สน.บางนา บก.น.5</v>
      </c>
      <c r="H63" s="324"/>
      <c r="I63" s="324"/>
      <c r="J63" s="325"/>
      <c r="L63" s="24"/>
      <c r="M63" s="23"/>
      <c r="N63" s="23"/>
      <c r="O63" s="23"/>
      <c r="P63" s="23"/>
      <c r="Q63" s="324" t="str">
        <f>ข้อมูลทำเนียบ!C13</f>
        <v>รอง สวป.สน.ทุ่งมหาเมฆ</v>
      </c>
      <c r="R63" s="324"/>
      <c r="S63" s="324"/>
      <c r="T63" s="325"/>
      <c r="V63" s="124"/>
      <c r="W63" s="47"/>
      <c r="X63" s="125"/>
      <c r="Y63" s="125"/>
    </row>
    <row r="64" spans="2:30" ht="12" customHeight="1">
      <c r="B64" s="14"/>
      <c r="C64" s="22"/>
      <c r="D64" s="328" t="str">
        <f>ข้อมูลทำเนียบ!L12</f>
        <v>Rh.O</v>
      </c>
      <c r="E64" s="22"/>
      <c r="F64" s="22"/>
      <c r="G64" s="324"/>
      <c r="H64" s="324"/>
      <c r="I64" s="324"/>
      <c r="J64" s="325"/>
      <c r="L64" s="14"/>
      <c r="M64" s="22"/>
      <c r="N64" s="328" t="str">
        <f>ข้อมูลทำเนียบ!L13</f>
        <v>Rh.O</v>
      </c>
      <c r="O64" s="22"/>
      <c r="P64" s="22"/>
      <c r="Q64" s="324"/>
      <c r="R64" s="324"/>
      <c r="S64" s="324"/>
      <c r="T64" s="325"/>
      <c r="V64" s="125"/>
      <c r="W64" s="125"/>
      <c r="X64" s="125"/>
      <c r="Y64" s="125"/>
    </row>
    <row r="65" spans="2:30" ht="12" customHeight="1">
      <c r="B65" s="21"/>
      <c r="C65" s="20"/>
      <c r="D65" s="329"/>
      <c r="E65" s="20"/>
      <c r="F65" s="20"/>
      <c r="G65" s="324"/>
      <c r="H65" s="324"/>
      <c r="I65" s="324"/>
      <c r="J65" s="325"/>
      <c r="L65" s="21"/>
      <c r="M65" s="20"/>
      <c r="N65" s="329"/>
      <c r="O65" s="20"/>
      <c r="P65" s="20"/>
      <c r="Q65" s="324"/>
      <c r="R65" s="324"/>
      <c r="S65" s="324"/>
      <c r="T65" s="325"/>
      <c r="V65" s="125"/>
      <c r="W65" s="125"/>
      <c r="X65" s="125"/>
      <c r="Y65" s="125"/>
    </row>
    <row r="66" spans="2:30" ht="12" customHeight="1">
      <c r="B66" s="21"/>
      <c r="C66" s="20"/>
      <c r="D66" s="330"/>
      <c r="E66" s="20"/>
      <c r="F66" s="20"/>
      <c r="G66" s="324"/>
      <c r="H66" s="324"/>
      <c r="I66" s="324"/>
      <c r="J66" s="325"/>
      <c r="L66" s="21"/>
      <c r="M66" s="20"/>
      <c r="N66" s="330"/>
      <c r="O66" s="20"/>
      <c r="P66" s="20"/>
      <c r="Q66" s="324"/>
      <c r="R66" s="324"/>
      <c r="S66" s="324"/>
      <c r="T66" s="325"/>
      <c r="V66" s="125"/>
      <c r="W66" s="125"/>
      <c r="X66" s="125"/>
      <c r="Y66" s="125"/>
    </row>
    <row r="67" spans="2:30" ht="6" customHeight="1" thickBot="1">
      <c r="B67" s="19"/>
      <c r="C67" s="18"/>
      <c r="D67" s="18"/>
      <c r="E67" s="18"/>
      <c r="F67" s="18"/>
      <c r="G67" s="326"/>
      <c r="H67" s="326"/>
      <c r="I67" s="326"/>
      <c r="J67" s="327"/>
      <c r="L67" s="19"/>
      <c r="M67" s="18"/>
      <c r="N67" s="18"/>
      <c r="O67" s="18"/>
      <c r="P67" s="18"/>
      <c r="Q67" s="326"/>
      <c r="R67" s="326"/>
      <c r="S67" s="326"/>
      <c r="T67" s="327"/>
      <c r="V67" s="125"/>
      <c r="W67" s="125"/>
      <c r="X67" s="125"/>
      <c r="Y67" s="125"/>
    </row>
    <row r="68" spans="2:30" s="259" customFormat="1" ht="39" thickTop="1">
      <c r="B68" s="257"/>
      <c r="C68" s="258"/>
      <c r="D68" s="258"/>
      <c r="E68" s="258"/>
      <c r="F68" s="258"/>
      <c r="G68" s="316" t="str">
        <f>G2</f>
        <v>ปรับพื้นฐานยุทธวิธีตำรวจระดับครูฝึก(สัญญาบัตร) รุ่นที่2</v>
      </c>
      <c r="H68" s="316"/>
      <c r="I68" s="316"/>
      <c r="J68" s="317"/>
      <c r="L68" s="257"/>
      <c r="M68" s="258"/>
      <c r="N68" s="258"/>
      <c r="O68" s="258"/>
      <c r="P68" s="258"/>
      <c r="Q68" s="316" t="str">
        <f>G2</f>
        <v>ปรับพื้นฐานยุทธวิธีตำรวจระดับครูฝึก(สัญญาบัตร) รุ่นที่2</v>
      </c>
      <c r="R68" s="316"/>
      <c r="S68" s="316"/>
      <c r="T68" s="317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</row>
    <row r="69" spans="2:30" s="262" customFormat="1" ht="16.5" customHeight="1">
      <c r="B69" s="260"/>
      <c r="C69" s="261"/>
      <c r="D69" s="261"/>
      <c r="E69" s="261"/>
      <c r="F69" s="261"/>
      <c r="G69" s="318" t="str">
        <f>G3</f>
        <v xml:space="preserve"> ประจำปีงบประมาณ 2562</v>
      </c>
      <c r="H69" s="318"/>
      <c r="I69" s="318"/>
      <c r="J69" s="319"/>
      <c r="L69" s="260"/>
      <c r="M69" s="261"/>
      <c r="N69" s="261"/>
      <c r="O69" s="261"/>
      <c r="P69" s="261"/>
      <c r="Q69" s="318" t="str">
        <f>G3</f>
        <v xml:space="preserve"> ประจำปีงบประมาณ 2562</v>
      </c>
      <c r="R69" s="318"/>
      <c r="S69" s="318"/>
      <c r="T69" s="319"/>
      <c r="U69" s="265"/>
      <c r="V69" s="266"/>
      <c r="W69" s="266"/>
      <c r="X69" s="266"/>
      <c r="Y69" s="266"/>
      <c r="Z69" s="265"/>
      <c r="AA69" s="265"/>
      <c r="AB69" s="265"/>
      <c r="AC69" s="265"/>
      <c r="AD69" s="265"/>
    </row>
    <row r="70" spans="2:30" ht="6" customHeight="1">
      <c r="B70" s="27"/>
      <c r="C70" s="26"/>
      <c r="D70" s="26"/>
      <c r="E70" s="26"/>
      <c r="F70" s="26"/>
      <c r="G70" s="320" t="str">
        <f>ข้อมูลทำเนียบ!B14</f>
        <v>ร.ต.ท.จักรพันธุ์   พันธุ์มณี /หนึ่ง</v>
      </c>
      <c r="H70" s="320"/>
      <c r="I70" s="320"/>
      <c r="J70" s="321"/>
      <c r="L70" s="27"/>
      <c r="M70" s="26"/>
      <c r="N70" s="26"/>
      <c r="O70" s="26"/>
      <c r="P70" s="26"/>
      <c r="Q70" s="320" t="str">
        <f>ข้อมูลทำเนียบ!B15</f>
        <v>ร.ต.อ.ดุสิต   โชติสกุลแสงทอง/ดุ</v>
      </c>
      <c r="R70" s="320"/>
      <c r="S70" s="320"/>
      <c r="T70" s="321"/>
      <c r="V70" s="124"/>
      <c r="W70" s="47"/>
      <c r="X70" s="125"/>
      <c r="Y70" s="125"/>
    </row>
    <row r="71" spans="2:30" ht="12" customHeight="1">
      <c r="B71" s="27"/>
      <c r="C71" s="26"/>
      <c r="D71" s="25">
        <v>1</v>
      </c>
      <c r="E71" s="26"/>
      <c r="F71" s="26"/>
      <c r="G71" s="320"/>
      <c r="H71" s="320"/>
      <c r="I71" s="320"/>
      <c r="J71" s="321"/>
      <c r="L71" s="27"/>
      <c r="M71" s="26"/>
      <c r="N71" s="25">
        <v>1</v>
      </c>
      <c r="O71" s="26"/>
      <c r="P71" s="26"/>
      <c r="Q71" s="320"/>
      <c r="R71" s="320"/>
      <c r="S71" s="320"/>
      <c r="T71" s="321"/>
      <c r="V71" s="124"/>
      <c r="W71" s="47"/>
      <c r="X71" s="125"/>
      <c r="Y71" s="125"/>
    </row>
    <row r="72" spans="2:30" ht="12" customHeight="1">
      <c r="B72" s="24"/>
      <c r="C72" s="23"/>
      <c r="D72" s="322">
        <v>11</v>
      </c>
      <c r="E72" s="23"/>
      <c r="F72" s="23"/>
      <c r="G72" s="320"/>
      <c r="H72" s="320"/>
      <c r="I72" s="320"/>
      <c r="J72" s="321"/>
      <c r="L72" s="24"/>
      <c r="M72" s="23"/>
      <c r="N72" s="322">
        <v>12</v>
      </c>
      <c r="O72" s="23"/>
      <c r="P72" s="23"/>
      <c r="Q72" s="320"/>
      <c r="R72" s="320"/>
      <c r="S72" s="320"/>
      <c r="T72" s="321"/>
      <c r="V72" s="124"/>
      <c r="W72" s="47"/>
      <c r="X72" s="125"/>
      <c r="Y72" s="125"/>
    </row>
    <row r="73" spans="2:30" ht="12" customHeight="1">
      <c r="B73" s="24"/>
      <c r="C73" s="23"/>
      <c r="D73" s="323"/>
      <c r="E73" s="23"/>
      <c r="F73" s="23"/>
      <c r="G73" s="320"/>
      <c r="H73" s="320"/>
      <c r="I73" s="320"/>
      <c r="J73" s="321"/>
      <c r="L73" s="24"/>
      <c r="M73" s="23"/>
      <c r="N73" s="323"/>
      <c r="O73" s="23"/>
      <c r="P73" s="23"/>
      <c r="Q73" s="320"/>
      <c r="R73" s="320"/>
      <c r="S73" s="320"/>
      <c r="T73" s="321"/>
      <c r="V73" s="124"/>
      <c r="W73" s="47"/>
      <c r="X73" s="125"/>
      <c r="Y73" s="125"/>
    </row>
    <row r="74" spans="2:30" ht="12" customHeight="1">
      <c r="B74" s="24"/>
      <c r="C74" s="23"/>
      <c r="D74" s="25"/>
      <c r="E74" s="23"/>
      <c r="F74" s="23"/>
      <c r="G74" s="320"/>
      <c r="H74" s="320"/>
      <c r="I74" s="320"/>
      <c r="J74" s="321"/>
      <c r="L74" s="24"/>
      <c r="M74" s="23"/>
      <c r="N74" s="25"/>
      <c r="O74" s="23"/>
      <c r="P74" s="23"/>
      <c r="Q74" s="320"/>
      <c r="R74" s="320"/>
      <c r="S74" s="320"/>
      <c r="T74" s="321"/>
      <c r="V74" s="124"/>
      <c r="W74" s="47"/>
      <c r="X74" s="125"/>
      <c r="Y74" s="125"/>
    </row>
    <row r="75" spans="2:30" ht="6" customHeight="1">
      <c r="B75" s="24"/>
      <c r="C75" s="23"/>
      <c r="D75" s="23"/>
      <c r="E75" s="23"/>
      <c r="F75" s="23"/>
      <c r="G75" s="324" t="str">
        <f>ข้อมูลทำเนียบ!C14</f>
        <v>รอง สว.กก.สืบสวน ภ.จว.จันทบุรี</v>
      </c>
      <c r="H75" s="324"/>
      <c r="I75" s="324"/>
      <c r="J75" s="325"/>
      <c r="L75" s="24"/>
      <c r="M75" s="23"/>
      <c r="N75" s="23"/>
      <c r="O75" s="23"/>
      <c r="P75" s="23"/>
      <c r="Q75" s="324" t="str">
        <f>ข้อมูลทำเนียบ!C15</f>
        <v xml:space="preserve">รอง สวป.สภ.สอยดาว จว.ชลบุรี </v>
      </c>
      <c r="R75" s="324"/>
      <c r="S75" s="324"/>
      <c r="T75" s="325"/>
      <c r="V75" s="124"/>
      <c r="W75" s="47"/>
      <c r="X75" s="125"/>
      <c r="Y75" s="125"/>
    </row>
    <row r="76" spans="2:30" ht="12" customHeight="1">
      <c r="B76" s="14"/>
      <c r="C76" s="22"/>
      <c r="D76" s="328" t="str">
        <f>ข้อมูลทำเนียบ!L14</f>
        <v>Rh.A</v>
      </c>
      <c r="E76" s="22"/>
      <c r="F76" s="22"/>
      <c r="G76" s="324"/>
      <c r="H76" s="324"/>
      <c r="I76" s="324"/>
      <c r="J76" s="325"/>
      <c r="L76" s="14"/>
      <c r="M76" s="22"/>
      <c r="N76" s="328" t="str">
        <f>ข้อมูลทำเนียบ!L15</f>
        <v>Rh.B</v>
      </c>
      <c r="O76" s="22"/>
      <c r="P76" s="22"/>
      <c r="Q76" s="324"/>
      <c r="R76" s="324"/>
      <c r="S76" s="324"/>
      <c r="T76" s="325"/>
      <c r="V76" s="125"/>
      <c r="W76" s="125"/>
      <c r="X76" s="125"/>
      <c r="Y76" s="125"/>
    </row>
    <row r="77" spans="2:30" ht="12" customHeight="1">
      <c r="B77" s="21"/>
      <c r="C77" s="20"/>
      <c r="D77" s="329"/>
      <c r="E77" s="20"/>
      <c r="F77" s="20"/>
      <c r="G77" s="324"/>
      <c r="H77" s="324"/>
      <c r="I77" s="324"/>
      <c r="J77" s="325"/>
      <c r="L77" s="21"/>
      <c r="M77" s="20"/>
      <c r="N77" s="329"/>
      <c r="O77" s="20"/>
      <c r="P77" s="20"/>
      <c r="Q77" s="324"/>
      <c r="R77" s="324"/>
      <c r="S77" s="324"/>
      <c r="T77" s="325"/>
      <c r="V77" s="125"/>
      <c r="W77" s="125"/>
      <c r="X77" s="125"/>
      <c r="Y77" s="125"/>
    </row>
    <row r="78" spans="2:30" ht="12" customHeight="1">
      <c r="B78" s="21"/>
      <c r="C78" s="20"/>
      <c r="D78" s="330"/>
      <c r="E78" s="20"/>
      <c r="F78" s="20"/>
      <c r="G78" s="324"/>
      <c r="H78" s="324"/>
      <c r="I78" s="324"/>
      <c r="J78" s="325"/>
      <c r="L78" s="21"/>
      <c r="M78" s="20"/>
      <c r="N78" s="330"/>
      <c r="O78" s="20"/>
      <c r="P78" s="20"/>
      <c r="Q78" s="324"/>
      <c r="R78" s="324"/>
      <c r="S78" s="324"/>
      <c r="T78" s="325"/>
      <c r="V78" s="125"/>
      <c r="W78" s="125"/>
      <c r="X78" s="125"/>
      <c r="Y78" s="125"/>
    </row>
    <row r="79" spans="2:30" ht="6" customHeight="1" thickBot="1">
      <c r="B79" s="19"/>
      <c r="C79" s="18"/>
      <c r="D79" s="18"/>
      <c r="E79" s="18"/>
      <c r="F79" s="18"/>
      <c r="G79" s="326"/>
      <c r="H79" s="326"/>
      <c r="I79" s="326"/>
      <c r="J79" s="327"/>
      <c r="L79" s="19"/>
      <c r="M79" s="18"/>
      <c r="N79" s="18"/>
      <c r="O79" s="18"/>
      <c r="P79" s="18"/>
      <c r="Q79" s="326"/>
      <c r="R79" s="326"/>
      <c r="S79" s="326"/>
      <c r="T79" s="327"/>
      <c r="V79" s="125"/>
      <c r="W79" s="125"/>
      <c r="X79" s="125"/>
      <c r="Y79" s="125"/>
    </row>
    <row r="80" spans="2:30" ht="3" customHeight="1" thickTop="1" thickBot="1"/>
    <row r="81" spans="2:30" s="259" customFormat="1" ht="39" thickTop="1">
      <c r="B81" s="257"/>
      <c r="C81" s="258"/>
      <c r="D81" s="258"/>
      <c r="E81" s="258"/>
      <c r="F81" s="258"/>
      <c r="G81" s="316" t="str">
        <f>G2</f>
        <v>ปรับพื้นฐานยุทธวิธีตำรวจระดับครูฝึก(สัญญาบัตร) รุ่นที่2</v>
      </c>
      <c r="H81" s="316"/>
      <c r="I81" s="316"/>
      <c r="J81" s="317"/>
      <c r="L81" s="257"/>
      <c r="M81" s="258"/>
      <c r="N81" s="258"/>
      <c r="O81" s="258"/>
      <c r="P81" s="258"/>
      <c r="Q81" s="316" t="str">
        <f>G2</f>
        <v>ปรับพื้นฐานยุทธวิธีตำรวจระดับครูฝึก(สัญญาบัตร) รุ่นที่2</v>
      </c>
      <c r="R81" s="316"/>
      <c r="S81" s="316"/>
      <c r="T81" s="317"/>
      <c r="U81" s="264"/>
      <c r="V81" s="264"/>
      <c r="W81" s="264"/>
      <c r="X81" s="264"/>
      <c r="Y81" s="264"/>
      <c r="Z81" s="264"/>
      <c r="AA81" s="264"/>
      <c r="AB81" s="264"/>
      <c r="AC81" s="264"/>
      <c r="AD81" s="264"/>
    </row>
    <row r="82" spans="2:30" s="262" customFormat="1" ht="16.5" customHeight="1">
      <c r="B82" s="260"/>
      <c r="C82" s="261"/>
      <c r="D82" s="261"/>
      <c r="E82" s="261"/>
      <c r="F82" s="261"/>
      <c r="G82" s="318" t="str">
        <f>G3</f>
        <v xml:space="preserve"> ประจำปีงบประมาณ 2562</v>
      </c>
      <c r="H82" s="318"/>
      <c r="I82" s="318"/>
      <c r="J82" s="319"/>
      <c r="L82" s="260"/>
      <c r="M82" s="261"/>
      <c r="N82" s="261"/>
      <c r="O82" s="261"/>
      <c r="P82" s="261"/>
      <c r="Q82" s="318" t="str">
        <f>G3</f>
        <v xml:space="preserve"> ประจำปีงบประมาณ 2562</v>
      </c>
      <c r="R82" s="318"/>
      <c r="S82" s="318"/>
      <c r="T82" s="319"/>
      <c r="U82" s="265"/>
      <c r="V82" s="266"/>
      <c r="W82" s="266"/>
      <c r="X82" s="266"/>
      <c r="Y82" s="266"/>
      <c r="Z82" s="265"/>
      <c r="AA82" s="265"/>
      <c r="AB82" s="265"/>
      <c r="AC82" s="265"/>
      <c r="AD82" s="265"/>
    </row>
    <row r="83" spans="2:30" ht="6" customHeight="1">
      <c r="B83" s="27"/>
      <c r="C83" s="26"/>
      <c r="D83" s="26"/>
      <c r="E83" s="26"/>
      <c r="F83" s="26"/>
      <c r="G83" s="320" t="str">
        <f>ข้อมูลทำเนียบ!B16</f>
        <v>ร.ต.อ.ไกรศักดิ์   เฉยฉิว /ศักดิ์</v>
      </c>
      <c r="H83" s="320"/>
      <c r="I83" s="320"/>
      <c r="J83" s="321"/>
      <c r="L83" s="27"/>
      <c r="M83" s="26"/>
      <c r="N83" s="26"/>
      <c r="O83" s="26"/>
      <c r="P83" s="26"/>
      <c r="Q83" s="320" t="str">
        <f>ข้อมูลทำเนียบ!B17</f>
        <v>ร.ต.อ.ประยงค์   อยู่สาโก /ยงค์</v>
      </c>
      <c r="R83" s="320"/>
      <c r="S83" s="320"/>
      <c r="T83" s="321"/>
      <c r="V83" s="124"/>
      <c r="W83" s="47"/>
      <c r="X83" s="125"/>
      <c r="Y83" s="125"/>
    </row>
    <row r="84" spans="2:30" ht="12" customHeight="1">
      <c r="B84" s="27"/>
      <c r="C84" s="26"/>
      <c r="D84" s="25">
        <v>1</v>
      </c>
      <c r="E84" s="26"/>
      <c r="F84" s="26"/>
      <c r="G84" s="320"/>
      <c r="H84" s="320"/>
      <c r="I84" s="320"/>
      <c r="J84" s="321"/>
      <c r="L84" s="27"/>
      <c r="M84" s="26"/>
      <c r="N84" s="25">
        <v>1</v>
      </c>
      <c r="O84" s="26"/>
      <c r="P84" s="26"/>
      <c r="Q84" s="320"/>
      <c r="R84" s="320"/>
      <c r="S84" s="320"/>
      <c r="T84" s="321"/>
      <c r="V84" s="124"/>
      <c r="W84" s="47"/>
      <c r="X84" s="125"/>
      <c r="Y84" s="125"/>
    </row>
    <row r="85" spans="2:30" ht="12" customHeight="1">
      <c r="B85" s="24"/>
      <c r="C85" s="23"/>
      <c r="D85" s="322">
        <v>13</v>
      </c>
      <c r="E85" s="23"/>
      <c r="F85" s="23"/>
      <c r="G85" s="320"/>
      <c r="H85" s="320"/>
      <c r="I85" s="320"/>
      <c r="J85" s="321"/>
      <c r="L85" s="24"/>
      <c r="M85" s="23"/>
      <c r="N85" s="322">
        <v>14</v>
      </c>
      <c r="O85" s="23"/>
      <c r="P85" s="23"/>
      <c r="Q85" s="320"/>
      <c r="R85" s="320"/>
      <c r="S85" s="320"/>
      <c r="T85" s="321"/>
      <c r="V85" s="124"/>
      <c r="W85" s="47"/>
      <c r="X85" s="125"/>
      <c r="Y85" s="125"/>
    </row>
    <row r="86" spans="2:30" ht="12" customHeight="1">
      <c r="B86" s="24"/>
      <c r="C86" s="23"/>
      <c r="D86" s="323"/>
      <c r="E86" s="23"/>
      <c r="F86" s="23"/>
      <c r="G86" s="320"/>
      <c r="H86" s="320"/>
      <c r="I86" s="320"/>
      <c r="J86" s="321"/>
      <c r="L86" s="24"/>
      <c r="M86" s="23"/>
      <c r="N86" s="323"/>
      <c r="O86" s="23"/>
      <c r="P86" s="23"/>
      <c r="Q86" s="320"/>
      <c r="R86" s="320"/>
      <c r="S86" s="320"/>
      <c r="T86" s="321"/>
      <c r="V86" s="124"/>
      <c r="W86" s="47"/>
      <c r="X86" s="125"/>
      <c r="Y86" s="125"/>
    </row>
    <row r="87" spans="2:30" ht="12" customHeight="1">
      <c r="B87" s="24"/>
      <c r="C87" s="23"/>
      <c r="D87" s="25"/>
      <c r="E87" s="23"/>
      <c r="F87" s="23"/>
      <c r="G87" s="320"/>
      <c r="H87" s="320"/>
      <c r="I87" s="320"/>
      <c r="J87" s="321"/>
      <c r="L87" s="24"/>
      <c r="M87" s="23"/>
      <c r="N87" s="25"/>
      <c r="O87" s="23"/>
      <c r="P87" s="23"/>
      <c r="Q87" s="320"/>
      <c r="R87" s="320"/>
      <c r="S87" s="320"/>
      <c r="T87" s="321"/>
      <c r="V87" s="124"/>
      <c r="W87" s="47"/>
      <c r="X87" s="125"/>
      <c r="Y87" s="125"/>
    </row>
    <row r="88" spans="2:30" ht="6" customHeight="1">
      <c r="B88" s="24"/>
      <c r="C88" s="23"/>
      <c r="D88" s="23"/>
      <c r="E88" s="23"/>
      <c r="F88" s="23"/>
      <c r="G88" s="324" t="str">
        <f>ข้อมูลทำเนียบ!C16</f>
        <v xml:space="preserve">รอง สว.จร.สภ.บางน้ำเปรี้ยว จว.ฉะเชิงเทรา </v>
      </c>
      <c r="H88" s="324"/>
      <c r="I88" s="324"/>
      <c r="J88" s="325"/>
      <c r="L88" s="24"/>
      <c r="M88" s="23"/>
      <c r="N88" s="23"/>
      <c r="O88" s="23"/>
      <c r="P88" s="23"/>
      <c r="Q88" s="324" t="str">
        <f>ข้อมูลทำเนียบ!C17</f>
        <v>รอง สวป.สภ.แปลงยาว จว.ฉะเชิงเทรา</v>
      </c>
      <c r="R88" s="324"/>
      <c r="S88" s="324"/>
      <c r="T88" s="325"/>
      <c r="V88" s="124"/>
      <c r="W88" s="47"/>
      <c r="X88" s="125"/>
      <c r="Y88" s="125"/>
    </row>
    <row r="89" spans="2:30" ht="12" customHeight="1">
      <c r="B89" s="14"/>
      <c r="C89" s="22"/>
      <c r="D89" s="328" t="str">
        <f>ข้อมูลทำเนียบ!L16</f>
        <v>Rh.B</v>
      </c>
      <c r="E89" s="22"/>
      <c r="F89" s="22"/>
      <c r="G89" s="324"/>
      <c r="H89" s="324"/>
      <c r="I89" s="324"/>
      <c r="J89" s="325"/>
      <c r="L89" s="14"/>
      <c r="M89" s="22"/>
      <c r="N89" s="328" t="str">
        <f>ข้อมูลทำเนียบ!L17</f>
        <v>Rh.A</v>
      </c>
      <c r="O89" s="22"/>
      <c r="P89" s="22"/>
      <c r="Q89" s="324"/>
      <c r="R89" s="324"/>
      <c r="S89" s="324"/>
      <c r="T89" s="325"/>
      <c r="V89" s="125"/>
      <c r="W89" s="125"/>
      <c r="X89" s="125"/>
      <c r="Y89" s="125"/>
    </row>
    <row r="90" spans="2:30" ht="12" customHeight="1">
      <c r="B90" s="21"/>
      <c r="C90" s="20"/>
      <c r="D90" s="329"/>
      <c r="E90" s="20"/>
      <c r="F90" s="20"/>
      <c r="G90" s="324"/>
      <c r="H90" s="324"/>
      <c r="I90" s="324"/>
      <c r="J90" s="325"/>
      <c r="L90" s="21"/>
      <c r="M90" s="20"/>
      <c r="N90" s="329"/>
      <c r="O90" s="20"/>
      <c r="P90" s="20"/>
      <c r="Q90" s="324"/>
      <c r="R90" s="324"/>
      <c r="S90" s="324"/>
      <c r="T90" s="325"/>
      <c r="V90" s="125"/>
      <c r="W90" s="125"/>
      <c r="X90" s="125"/>
      <c r="Y90" s="125"/>
    </row>
    <row r="91" spans="2:30" ht="12" customHeight="1">
      <c r="B91" s="21"/>
      <c r="C91" s="20"/>
      <c r="D91" s="330"/>
      <c r="E91" s="20"/>
      <c r="F91" s="20"/>
      <c r="G91" s="324"/>
      <c r="H91" s="324"/>
      <c r="I91" s="324"/>
      <c r="J91" s="325"/>
      <c r="L91" s="21"/>
      <c r="M91" s="20"/>
      <c r="N91" s="330"/>
      <c r="O91" s="20"/>
      <c r="P91" s="20"/>
      <c r="Q91" s="324"/>
      <c r="R91" s="324"/>
      <c r="S91" s="324"/>
      <c r="T91" s="325"/>
      <c r="V91" s="125"/>
      <c r="W91" s="125"/>
      <c r="X91" s="125"/>
      <c r="Y91" s="125"/>
    </row>
    <row r="92" spans="2:30" ht="6" customHeight="1" thickBot="1">
      <c r="B92" s="19"/>
      <c r="C92" s="18"/>
      <c r="D92" s="18"/>
      <c r="E92" s="18"/>
      <c r="F92" s="18"/>
      <c r="G92" s="326"/>
      <c r="H92" s="326"/>
      <c r="I92" s="326"/>
      <c r="J92" s="327"/>
      <c r="L92" s="19"/>
      <c r="M92" s="18"/>
      <c r="N92" s="18"/>
      <c r="O92" s="18"/>
      <c r="P92" s="18"/>
      <c r="Q92" s="326"/>
      <c r="R92" s="326"/>
      <c r="S92" s="326"/>
      <c r="T92" s="327"/>
      <c r="V92" s="125"/>
      <c r="W92" s="125"/>
      <c r="X92" s="125"/>
      <c r="Y92" s="125"/>
    </row>
    <row r="93" spans="2:30" ht="3" customHeight="1" thickTop="1" thickBot="1"/>
    <row r="94" spans="2:30" s="259" customFormat="1" ht="39" thickTop="1">
      <c r="B94" s="257"/>
      <c r="C94" s="258"/>
      <c r="D94" s="258"/>
      <c r="E94" s="258"/>
      <c r="F94" s="258"/>
      <c r="G94" s="316" t="str">
        <f>G2</f>
        <v>ปรับพื้นฐานยุทธวิธีตำรวจระดับครูฝึก(สัญญาบัตร) รุ่นที่2</v>
      </c>
      <c r="H94" s="316"/>
      <c r="I94" s="316"/>
      <c r="J94" s="317"/>
      <c r="L94" s="257"/>
      <c r="M94" s="258"/>
      <c r="N94" s="258"/>
      <c r="O94" s="258"/>
      <c r="P94" s="258"/>
      <c r="Q94" s="316" t="str">
        <f>G2</f>
        <v>ปรับพื้นฐานยุทธวิธีตำรวจระดับครูฝึก(สัญญาบัตร) รุ่นที่2</v>
      </c>
      <c r="R94" s="316"/>
      <c r="S94" s="316"/>
      <c r="T94" s="317"/>
      <c r="U94" s="264"/>
      <c r="V94" s="264"/>
      <c r="W94" s="264"/>
      <c r="X94" s="264"/>
      <c r="Y94" s="264"/>
      <c r="Z94" s="264"/>
      <c r="AA94" s="264"/>
      <c r="AB94" s="264"/>
      <c r="AC94" s="264"/>
      <c r="AD94" s="264"/>
    </row>
    <row r="95" spans="2:30" s="262" customFormat="1" ht="16.5" customHeight="1">
      <c r="B95" s="260"/>
      <c r="C95" s="261"/>
      <c r="D95" s="261"/>
      <c r="E95" s="261"/>
      <c r="F95" s="261"/>
      <c r="G95" s="318" t="str">
        <f>G3</f>
        <v xml:space="preserve"> ประจำปีงบประมาณ 2562</v>
      </c>
      <c r="H95" s="318"/>
      <c r="I95" s="318"/>
      <c r="J95" s="319"/>
      <c r="L95" s="260"/>
      <c r="M95" s="261"/>
      <c r="N95" s="261"/>
      <c r="O95" s="261"/>
      <c r="P95" s="261"/>
      <c r="Q95" s="318" t="str">
        <f>G3</f>
        <v xml:space="preserve"> ประจำปีงบประมาณ 2562</v>
      </c>
      <c r="R95" s="318"/>
      <c r="S95" s="318"/>
      <c r="T95" s="319"/>
      <c r="U95" s="265"/>
      <c r="V95" s="266"/>
      <c r="W95" s="266"/>
      <c r="X95" s="266"/>
      <c r="Y95" s="266"/>
      <c r="Z95" s="265"/>
      <c r="AA95" s="265"/>
      <c r="AB95" s="265"/>
      <c r="AC95" s="265"/>
      <c r="AD95" s="265"/>
    </row>
    <row r="96" spans="2:30" ht="6" customHeight="1">
      <c r="B96" s="27"/>
      <c r="C96" s="26"/>
      <c r="D96" s="26"/>
      <c r="E96" s="26"/>
      <c r="F96" s="26"/>
      <c r="G96" s="320" t="str">
        <f>ข้อมูลทำเนียบ!B18</f>
        <v>ร.ต.อ.วุฒิพงษ์   กาสา/อู๊ด</v>
      </c>
      <c r="H96" s="320"/>
      <c r="I96" s="320"/>
      <c r="J96" s="321"/>
      <c r="L96" s="27"/>
      <c r="M96" s="26"/>
      <c r="N96" s="26"/>
      <c r="O96" s="26"/>
      <c r="P96" s="26"/>
      <c r="Q96" s="320" t="str">
        <f>ข้อมูลทำเนียบ!B19</f>
        <v>ร.ต.อ.ยงยุทธ  กองทอง/ยุทธ</v>
      </c>
      <c r="R96" s="320"/>
      <c r="S96" s="320"/>
      <c r="T96" s="321"/>
      <c r="V96" s="124"/>
      <c r="W96" s="47"/>
      <c r="X96" s="125"/>
      <c r="Y96" s="125"/>
    </row>
    <row r="97" spans="2:30" ht="12" customHeight="1">
      <c r="B97" s="27"/>
      <c r="C97" s="26"/>
      <c r="D97" s="25">
        <v>1</v>
      </c>
      <c r="E97" s="26"/>
      <c r="F97" s="26"/>
      <c r="G97" s="320"/>
      <c r="H97" s="320"/>
      <c r="I97" s="320"/>
      <c r="J97" s="321"/>
      <c r="L97" s="27"/>
      <c r="M97" s="26"/>
      <c r="N97" s="25">
        <v>1</v>
      </c>
      <c r="O97" s="26"/>
      <c r="P97" s="26"/>
      <c r="Q97" s="320"/>
      <c r="R97" s="320"/>
      <c r="S97" s="320"/>
      <c r="T97" s="321"/>
      <c r="V97" s="124"/>
      <c r="W97" s="47"/>
      <c r="X97" s="125"/>
      <c r="Y97" s="125"/>
    </row>
    <row r="98" spans="2:30" ht="12" customHeight="1">
      <c r="B98" s="24"/>
      <c r="C98" s="23"/>
      <c r="D98" s="322">
        <v>15</v>
      </c>
      <c r="E98" s="23"/>
      <c r="F98" s="23"/>
      <c r="G98" s="320"/>
      <c r="H98" s="320"/>
      <c r="I98" s="320"/>
      <c r="J98" s="321"/>
      <c r="L98" s="24"/>
      <c r="M98" s="23"/>
      <c r="N98" s="322">
        <v>16</v>
      </c>
      <c r="O98" s="23"/>
      <c r="P98" s="23"/>
      <c r="Q98" s="320"/>
      <c r="R98" s="320"/>
      <c r="S98" s="320"/>
      <c r="T98" s="321"/>
      <c r="V98" s="124"/>
      <c r="W98" s="47"/>
      <c r="X98" s="125"/>
      <c r="Y98" s="125"/>
    </row>
    <row r="99" spans="2:30" ht="12" customHeight="1">
      <c r="B99" s="24"/>
      <c r="C99" s="23"/>
      <c r="D99" s="323"/>
      <c r="E99" s="23"/>
      <c r="F99" s="23"/>
      <c r="G99" s="320"/>
      <c r="H99" s="320"/>
      <c r="I99" s="320"/>
      <c r="J99" s="321"/>
      <c r="L99" s="24"/>
      <c r="M99" s="23"/>
      <c r="N99" s="323"/>
      <c r="O99" s="23"/>
      <c r="P99" s="23"/>
      <c r="Q99" s="320"/>
      <c r="R99" s="320"/>
      <c r="S99" s="320"/>
      <c r="T99" s="321"/>
      <c r="V99" s="124"/>
      <c r="W99" s="47"/>
      <c r="X99" s="125"/>
      <c r="Y99" s="125"/>
    </row>
    <row r="100" spans="2:30" ht="12" customHeight="1">
      <c r="B100" s="24"/>
      <c r="C100" s="23"/>
      <c r="D100" s="25"/>
      <c r="E100" s="23"/>
      <c r="F100" s="23"/>
      <c r="G100" s="320"/>
      <c r="H100" s="320"/>
      <c r="I100" s="320"/>
      <c r="J100" s="321"/>
      <c r="L100" s="24"/>
      <c r="M100" s="23"/>
      <c r="N100" s="25"/>
      <c r="O100" s="23"/>
      <c r="P100" s="23"/>
      <c r="Q100" s="320"/>
      <c r="R100" s="320"/>
      <c r="S100" s="320"/>
      <c r="T100" s="321"/>
      <c r="V100" s="124"/>
      <c r="W100" s="47"/>
      <c r="X100" s="125"/>
      <c r="Y100" s="125"/>
    </row>
    <row r="101" spans="2:30" ht="6" customHeight="1">
      <c r="B101" s="24"/>
      <c r="C101" s="23"/>
      <c r="D101" s="23"/>
      <c r="E101" s="23"/>
      <c r="F101" s="23"/>
      <c r="G101" s="324" t="str">
        <f>ข้อมูลทำเนียบ!C18</f>
        <v xml:space="preserve">รอง สว.กก.สืบสวน ภ.จว.ชลบุรี </v>
      </c>
      <c r="H101" s="324"/>
      <c r="I101" s="324"/>
      <c r="J101" s="325"/>
      <c r="L101" s="24"/>
      <c r="M101" s="23"/>
      <c r="N101" s="23"/>
      <c r="O101" s="23"/>
      <c r="P101" s="23"/>
      <c r="Q101" s="324" t="str">
        <f>ข้อมูลทำเนียบ!C19</f>
        <v>รอง สวป.สภ.ห้วยใหญ่ ภ.จว.ชลบุรี</v>
      </c>
      <c r="R101" s="324"/>
      <c r="S101" s="324"/>
      <c r="T101" s="325"/>
      <c r="V101" s="124"/>
      <c r="W101" s="47"/>
      <c r="X101" s="125"/>
      <c r="Y101" s="125"/>
    </row>
    <row r="102" spans="2:30" ht="12" customHeight="1">
      <c r="B102" s="14"/>
      <c r="C102" s="22"/>
      <c r="D102" s="328" t="str">
        <f>ข้อมูลทำเนียบ!L18</f>
        <v>Rh.B</v>
      </c>
      <c r="E102" s="22"/>
      <c r="F102" s="22"/>
      <c r="G102" s="324"/>
      <c r="H102" s="324"/>
      <c r="I102" s="324"/>
      <c r="J102" s="325"/>
      <c r="L102" s="14"/>
      <c r="M102" s="22"/>
      <c r="N102" s="328" t="str">
        <f>ข้อมูลทำเนียบ!L19</f>
        <v>Rh.O</v>
      </c>
      <c r="O102" s="22"/>
      <c r="P102" s="22"/>
      <c r="Q102" s="324"/>
      <c r="R102" s="324"/>
      <c r="S102" s="324"/>
      <c r="T102" s="325"/>
      <c r="V102" s="125"/>
      <c r="W102" s="125"/>
      <c r="X102" s="125"/>
      <c r="Y102" s="125"/>
    </row>
    <row r="103" spans="2:30" ht="12" customHeight="1">
      <c r="B103" s="21"/>
      <c r="C103" s="20"/>
      <c r="D103" s="329"/>
      <c r="E103" s="20"/>
      <c r="F103" s="20"/>
      <c r="G103" s="324"/>
      <c r="H103" s="324"/>
      <c r="I103" s="324"/>
      <c r="J103" s="325"/>
      <c r="L103" s="21"/>
      <c r="M103" s="20"/>
      <c r="N103" s="329"/>
      <c r="O103" s="20"/>
      <c r="P103" s="20"/>
      <c r="Q103" s="324"/>
      <c r="R103" s="324"/>
      <c r="S103" s="324"/>
      <c r="T103" s="325"/>
      <c r="V103" s="125"/>
      <c r="W103" s="125"/>
      <c r="X103" s="125"/>
      <c r="Y103" s="125"/>
    </row>
    <row r="104" spans="2:30" ht="12" customHeight="1">
      <c r="B104" s="21"/>
      <c r="C104" s="20"/>
      <c r="D104" s="330"/>
      <c r="E104" s="20"/>
      <c r="F104" s="20"/>
      <c r="G104" s="324"/>
      <c r="H104" s="324"/>
      <c r="I104" s="324"/>
      <c r="J104" s="325"/>
      <c r="L104" s="21"/>
      <c r="M104" s="20"/>
      <c r="N104" s="330"/>
      <c r="O104" s="20"/>
      <c r="P104" s="20"/>
      <c r="Q104" s="324"/>
      <c r="R104" s="324"/>
      <c r="S104" s="324"/>
      <c r="T104" s="325"/>
      <c r="V104" s="125"/>
      <c r="W104" s="125"/>
      <c r="X104" s="125"/>
      <c r="Y104" s="125"/>
    </row>
    <row r="105" spans="2:30" ht="6" customHeight="1" thickBot="1">
      <c r="B105" s="19"/>
      <c r="C105" s="18"/>
      <c r="D105" s="18"/>
      <c r="E105" s="18"/>
      <c r="F105" s="18"/>
      <c r="G105" s="326"/>
      <c r="H105" s="326"/>
      <c r="I105" s="326"/>
      <c r="J105" s="327"/>
      <c r="L105" s="19"/>
      <c r="M105" s="18"/>
      <c r="N105" s="18"/>
      <c r="O105" s="18"/>
      <c r="P105" s="18"/>
      <c r="Q105" s="326"/>
      <c r="R105" s="326"/>
      <c r="S105" s="326"/>
      <c r="T105" s="327"/>
      <c r="V105" s="125"/>
      <c r="W105" s="125"/>
      <c r="X105" s="125"/>
      <c r="Y105" s="125"/>
    </row>
    <row r="106" spans="2:30" ht="3" customHeight="1" thickTop="1" thickBot="1"/>
    <row r="107" spans="2:30" s="259" customFormat="1" ht="39" thickTop="1">
      <c r="B107" s="257"/>
      <c r="C107" s="258"/>
      <c r="D107" s="258"/>
      <c r="E107" s="258"/>
      <c r="F107" s="258"/>
      <c r="G107" s="316" t="str">
        <f>G2</f>
        <v>ปรับพื้นฐานยุทธวิธีตำรวจระดับครูฝึก(สัญญาบัตร) รุ่นที่2</v>
      </c>
      <c r="H107" s="316"/>
      <c r="I107" s="316"/>
      <c r="J107" s="317"/>
      <c r="L107" s="257"/>
      <c r="M107" s="258"/>
      <c r="N107" s="258"/>
      <c r="O107" s="258"/>
      <c r="P107" s="258"/>
      <c r="Q107" s="316" t="str">
        <f>G2</f>
        <v>ปรับพื้นฐานยุทธวิธีตำรวจระดับครูฝึก(สัญญาบัตร) รุ่นที่2</v>
      </c>
      <c r="R107" s="316"/>
      <c r="S107" s="316"/>
      <c r="T107" s="317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</row>
    <row r="108" spans="2:30" s="262" customFormat="1" ht="16.5" customHeight="1">
      <c r="B108" s="260"/>
      <c r="C108" s="261"/>
      <c r="D108" s="261"/>
      <c r="E108" s="261"/>
      <c r="F108" s="261"/>
      <c r="G108" s="318" t="str">
        <f>G3</f>
        <v xml:space="preserve"> ประจำปีงบประมาณ 2562</v>
      </c>
      <c r="H108" s="318"/>
      <c r="I108" s="318"/>
      <c r="J108" s="319"/>
      <c r="L108" s="260"/>
      <c r="M108" s="261"/>
      <c r="N108" s="261"/>
      <c r="O108" s="261"/>
      <c r="P108" s="261"/>
      <c r="Q108" s="318" t="str">
        <f>G3</f>
        <v xml:space="preserve"> ประจำปีงบประมาณ 2562</v>
      </c>
      <c r="R108" s="318"/>
      <c r="S108" s="318"/>
      <c r="T108" s="319"/>
      <c r="U108" s="265"/>
      <c r="V108" s="266"/>
      <c r="W108" s="266"/>
      <c r="X108" s="266"/>
      <c r="Y108" s="266"/>
      <c r="Z108" s="265"/>
      <c r="AA108" s="265"/>
      <c r="AB108" s="265"/>
      <c r="AC108" s="265"/>
      <c r="AD108" s="265"/>
    </row>
    <row r="109" spans="2:30" ht="6" customHeight="1">
      <c r="B109" s="27"/>
      <c r="C109" s="26"/>
      <c r="D109" s="26"/>
      <c r="E109" s="26"/>
      <c r="F109" s="26"/>
      <c r="G109" s="320" t="str">
        <f>ข้อมูลทำเนียบ!B20</f>
        <v>พ.ต.ท.อาทิตย์   ธรรมสุนา/ท๊อป</v>
      </c>
      <c r="H109" s="320"/>
      <c r="I109" s="320"/>
      <c r="J109" s="321"/>
      <c r="L109" s="27"/>
      <c r="M109" s="26"/>
      <c r="N109" s="26"/>
      <c r="O109" s="26"/>
      <c r="P109" s="26"/>
      <c r="Q109" s="320" t="str">
        <f>ข้อมูลทำเนียบ!B21</f>
        <v>ร.ต.อ.อนวัช   พรมปะ /วัช</v>
      </c>
      <c r="R109" s="320"/>
      <c r="S109" s="320"/>
      <c r="T109" s="321"/>
      <c r="V109" s="124"/>
      <c r="W109" s="47"/>
      <c r="X109" s="125"/>
      <c r="Y109" s="125"/>
    </row>
    <row r="110" spans="2:30" ht="12" customHeight="1">
      <c r="B110" s="27"/>
      <c r="C110" s="26"/>
      <c r="D110" s="25">
        <v>1</v>
      </c>
      <c r="E110" s="26"/>
      <c r="F110" s="26"/>
      <c r="G110" s="320"/>
      <c r="H110" s="320"/>
      <c r="I110" s="320"/>
      <c r="J110" s="321"/>
      <c r="L110" s="27"/>
      <c r="M110" s="26"/>
      <c r="N110" s="25">
        <v>1</v>
      </c>
      <c r="O110" s="26"/>
      <c r="P110" s="26"/>
      <c r="Q110" s="320"/>
      <c r="R110" s="320"/>
      <c r="S110" s="320"/>
      <c r="T110" s="321"/>
      <c r="V110" s="124"/>
      <c r="W110" s="47"/>
      <c r="X110" s="125"/>
      <c r="Y110" s="125"/>
    </row>
    <row r="111" spans="2:30" ht="12" customHeight="1">
      <c r="B111" s="24"/>
      <c r="C111" s="23"/>
      <c r="D111" s="322">
        <v>17</v>
      </c>
      <c r="E111" s="23"/>
      <c r="F111" s="23"/>
      <c r="G111" s="320"/>
      <c r="H111" s="320"/>
      <c r="I111" s="320"/>
      <c r="J111" s="321"/>
      <c r="L111" s="24"/>
      <c r="M111" s="23"/>
      <c r="N111" s="322">
        <v>18</v>
      </c>
      <c r="O111" s="23"/>
      <c r="P111" s="23"/>
      <c r="Q111" s="320"/>
      <c r="R111" s="320"/>
      <c r="S111" s="320"/>
      <c r="T111" s="321"/>
      <c r="V111" s="124"/>
      <c r="W111" s="47"/>
      <c r="X111" s="125"/>
      <c r="Y111" s="125"/>
    </row>
    <row r="112" spans="2:30" ht="12" customHeight="1">
      <c r="B112" s="24"/>
      <c r="C112" s="23"/>
      <c r="D112" s="323"/>
      <c r="E112" s="23"/>
      <c r="F112" s="23"/>
      <c r="G112" s="320"/>
      <c r="H112" s="320"/>
      <c r="I112" s="320"/>
      <c r="J112" s="321"/>
      <c r="L112" s="24"/>
      <c r="M112" s="23"/>
      <c r="N112" s="323"/>
      <c r="O112" s="23"/>
      <c r="P112" s="23"/>
      <c r="Q112" s="320"/>
      <c r="R112" s="320"/>
      <c r="S112" s="320"/>
      <c r="T112" s="321"/>
      <c r="V112" s="124"/>
      <c r="W112" s="47"/>
      <c r="X112" s="125"/>
      <c r="Y112" s="125"/>
    </row>
    <row r="113" spans="2:30" ht="12" customHeight="1">
      <c r="B113" s="24"/>
      <c r="C113" s="23"/>
      <c r="D113" s="25"/>
      <c r="E113" s="23"/>
      <c r="F113" s="23"/>
      <c r="G113" s="320"/>
      <c r="H113" s="320"/>
      <c r="I113" s="320"/>
      <c r="J113" s="321"/>
      <c r="L113" s="24"/>
      <c r="M113" s="23"/>
      <c r="N113" s="25"/>
      <c r="O113" s="23"/>
      <c r="P113" s="23"/>
      <c r="Q113" s="320"/>
      <c r="R113" s="320"/>
      <c r="S113" s="320"/>
      <c r="T113" s="321"/>
      <c r="V113" s="124"/>
      <c r="W113" s="47"/>
      <c r="X113" s="125"/>
      <c r="Y113" s="125"/>
    </row>
    <row r="114" spans="2:30" ht="6" customHeight="1">
      <c r="B114" s="24"/>
      <c r="C114" s="23"/>
      <c r="D114" s="23"/>
      <c r="E114" s="23"/>
      <c r="F114" s="23"/>
      <c r="G114" s="324" t="str">
        <f>ข้อมูลทำเนียบ!C20</f>
        <v xml:space="preserve">สวป.สภ.วังตะเคียน จว.ปราจีนบุรี </v>
      </c>
      <c r="H114" s="324"/>
      <c r="I114" s="324"/>
      <c r="J114" s="325"/>
      <c r="L114" s="24"/>
      <c r="M114" s="23"/>
      <c r="N114" s="23"/>
      <c r="O114" s="23"/>
      <c r="P114" s="23"/>
      <c r="Q114" s="324" t="str">
        <f>ข้อมูลทำเนียบ!C21</f>
        <v>รอง สวป.สภ.ศรีมหาโพธิ จว.ปราจีนบุรี</v>
      </c>
      <c r="R114" s="324"/>
      <c r="S114" s="324"/>
      <c r="T114" s="325"/>
      <c r="V114" s="124"/>
      <c r="W114" s="47"/>
      <c r="X114" s="125"/>
      <c r="Y114" s="125"/>
    </row>
    <row r="115" spans="2:30" ht="12" customHeight="1">
      <c r="B115" s="14"/>
      <c r="C115" s="22"/>
      <c r="D115" s="328" t="str">
        <f>ข้อมูลทำเนียบ!L20</f>
        <v>Rh.O</v>
      </c>
      <c r="E115" s="22"/>
      <c r="F115" s="22"/>
      <c r="G115" s="324"/>
      <c r="H115" s="324"/>
      <c r="I115" s="324"/>
      <c r="J115" s="325"/>
      <c r="L115" s="14"/>
      <c r="M115" s="22"/>
      <c r="N115" s="328" t="str">
        <f>ข้อมูลทำเนียบ!L21</f>
        <v>Rh.A</v>
      </c>
      <c r="O115" s="22"/>
      <c r="P115" s="22"/>
      <c r="Q115" s="324"/>
      <c r="R115" s="324"/>
      <c r="S115" s="324"/>
      <c r="T115" s="325"/>
      <c r="V115" s="125"/>
      <c r="W115" s="125"/>
      <c r="X115" s="125"/>
      <c r="Y115" s="125"/>
    </row>
    <row r="116" spans="2:30" ht="12" customHeight="1">
      <c r="B116" s="21"/>
      <c r="C116" s="20"/>
      <c r="D116" s="329"/>
      <c r="E116" s="20"/>
      <c r="F116" s="20"/>
      <c r="G116" s="324"/>
      <c r="H116" s="324"/>
      <c r="I116" s="324"/>
      <c r="J116" s="325"/>
      <c r="L116" s="21"/>
      <c r="M116" s="20"/>
      <c r="N116" s="329"/>
      <c r="O116" s="20"/>
      <c r="P116" s="20"/>
      <c r="Q116" s="324"/>
      <c r="R116" s="324"/>
      <c r="S116" s="324"/>
      <c r="T116" s="325"/>
      <c r="V116" s="125"/>
      <c r="W116" s="125"/>
      <c r="X116" s="125"/>
      <c r="Y116" s="125"/>
    </row>
    <row r="117" spans="2:30" ht="12" customHeight="1">
      <c r="B117" s="21"/>
      <c r="C117" s="20"/>
      <c r="D117" s="330"/>
      <c r="E117" s="20"/>
      <c r="F117" s="20"/>
      <c r="G117" s="324"/>
      <c r="H117" s="324"/>
      <c r="I117" s="324"/>
      <c r="J117" s="325"/>
      <c r="L117" s="21"/>
      <c r="M117" s="20"/>
      <c r="N117" s="330"/>
      <c r="O117" s="20"/>
      <c r="P117" s="20"/>
      <c r="Q117" s="324"/>
      <c r="R117" s="324"/>
      <c r="S117" s="324"/>
      <c r="T117" s="325"/>
      <c r="V117" s="125"/>
      <c r="W117" s="125"/>
      <c r="X117" s="125"/>
      <c r="Y117" s="125"/>
    </row>
    <row r="118" spans="2:30" ht="6" customHeight="1" thickBot="1">
      <c r="B118" s="19"/>
      <c r="C118" s="18"/>
      <c r="D118" s="18"/>
      <c r="E118" s="18"/>
      <c r="F118" s="18"/>
      <c r="G118" s="326"/>
      <c r="H118" s="326"/>
      <c r="I118" s="326"/>
      <c r="J118" s="327"/>
      <c r="L118" s="19"/>
      <c r="M118" s="18"/>
      <c r="N118" s="18"/>
      <c r="O118" s="18"/>
      <c r="P118" s="18"/>
      <c r="Q118" s="326"/>
      <c r="R118" s="326"/>
      <c r="S118" s="326"/>
      <c r="T118" s="327"/>
      <c r="V118" s="125"/>
      <c r="W118" s="125"/>
      <c r="X118" s="125"/>
      <c r="Y118" s="125"/>
    </row>
    <row r="119" spans="2:30" ht="3" customHeight="1" thickTop="1" thickBot="1"/>
    <row r="120" spans="2:30" s="259" customFormat="1" ht="39" thickTop="1">
      <c r="B120" s="257"/>
      <c r="C120" s="258"/>
      <c r="D120" s="258"/>
      <c r="E120" s="258"/>
      <c r="F120" s="258"/>
      <c r="G120" s="316" t="str">
        <f>G2</f>
        <v>ปรับพื้นฐานยุทธวิธีตำรวจระดับครูฝึก(สัญญาบัตร) รุ่นที่2</v>
      </c>
      <c r="H120" s="316"/>
      <c r="I120" s="316"/>
      <c r="J120" s="317"/>
      <c r="L120" s="257"/>
      <c r="M120" s="258"/>
      <c r="N120" s="258"/>
      <c r="O120" s="258"/>
      <c r="P120" s="258"/>
      <c r="Q120" s="316" t="str">
        <f>G2</f>
        <v>ปรับพื้นฐานยุทธวิธีตำรวจระดับครูฝึก(สัญญาบัตร) รุ่นที่2</v>
      </c>
      <c r="R120" s="316"/>
      <c r="S120" s="316"/>
      <c r="T120" s="317"/>
      <c r="U120" s="264"/>
      <c r="V120" s="264"/>
      <c r="W120" s="264"/>
      <c r="X120" s="264"/>
      <c r="Y120" s="264"/>
      <c r="Z120" s="264"/>
      <c r="AA120" s="264"/>
      <c r="AB120" s="264"/>
      <c r="AC120" s="264"/>
      <c r="AD120" s="264"/>
    </row>
    <row r="121" spans="2:30" s="262" customFormat="1" ht="16.5" customHeight="1">
      <c r="B121" s="260"/>
      <c r="C121" s="261"/>
      <c r="D121" s="261"/>
      <c r="E121" s="261"/>
      <c r="F121" s="261"/>
      <c r="G121" s="318" t="str">
        <f>G3</f>
        <v xml:space="preserve"> ประจำปีงบประมาณ 2562</v>
      </c>
      <c r="H121" s="318"/>
      <c r="I121" s="318"/>
      <c r="J121" s="319"/>
      <c r="L121" s="260"/>
      <c r="M121" s="261"/>
      <c r="N121" s="261"/>
      <c r="O121" s="261"/>
      <c r="P121" s="261"/>
      <c r="Q121" s="318" t="str">
        <f>G3</f>
        <v xml:space="preserve"> ประจำปีงบประมาณ 2562</v>
      </c>
      <c r="R121" s="318"/>
      <c r="S121" s="318"/>
      <c r="T121" s="319"/>
      <c r="U121" s="265"/>
      <c r="V121" s="266"/>
      <c r="W121" s="266"/>
      <c r="X121" s="266"/>
      <c r="Y121" s="266"/>
      <c r="Z121" s="265"/>
      <c r="AA121" s="265"/>
      <c r="AB121" s="265"/>
      <c r="AC121" s="265"/>
      <c r="AD121" s="265"/>
    </row>
    <row r="122" spans="2:30" ht="6" customHeight="1">
      <c r="B122" s="27"/>
      <c r="C122" s="26"/>
      <c r="D122" s="26"/>
      <c r="E122" s="26"/>
      <c r="F122" s="26"/>
      <c r="G122" s="320" t="str">
        <f>ข้อมูลทำเนียบ!B22</f>
        <v>ร.ต.อ.สิทธา   ช่อเกตุ /แหลม</v>
      </c>
      <c r="H122" s="320"/>
      <c r="I122" s="320"/>
      <c r="J122" s="321"/>
      <c r="L122" s="27"/>
      <c r="M122" s="26"/>
      <c r="N122" s="26"/>
      <c r="O122" s="26"/>
      <c r="P122" s="26"/>
      <c r="Q122" s="320" t="str">
        <f>ข้อมูลทำเนียบ!B23</f>
        <v>ร.ต.อ.คมเดช   ศรียางนอก /ยศ</v>
      </c>
      <c r="R122" s="320"/>
      <c r="S122" s="320"/>
      <c r="T122" s="321"/>
      <c r="V122" s="124"/>
      <c r="W122" s="47"/>
      <c r="X122" s="125"/>
      <c r="Y122" s="125"/>
    </row>
    <row r="123" spans="2:30" ht="12" customHeight="1">
      <c r="B123" s="27"/>
      <c r="C123" s="26"/>
      <c r="D123" s="25">
        <v>1</v>
      </c>
      <c r="E123" s="26"/>
      <c r="F123" s="26"/>
      <c r="G123" s="320"/>
      <c r="H123" s="320"/>
      <c r="I123" s="320"/>
      <c r="J123" s="321"/>
      <c r="L123" s="27"/>
      <c r="M123" s="26"/>
      <c r="N123" s="25">
        <v>1</v>
      </c>
      <c r="O123" s="26"/>
      <c r="P123" s="26"/>
      <c r="Q123" s="320"/>
      <c r="R123" s="320"/>
      <c r="S123" s="320"/>
      <c r="T123" s="321"/>
      <c r="V123" s="124"/>
      <c r="W123" s="47"/>
      <c r="X123" s="125"/>
      <c r="Y123" s="125"/>
    </row>
    <row r="124" spans="2:30" ht="12" customHeight="1">
      <c r="B124" s="24"/>
      <c r="C124" s="23"/>
      <c r="D124" s="322">
        <v>19</v>
      </c>
      <c r="E124" s="23"/>
      <c r="F124" s="23"/>
      <c r="G124" s="320"/>
      <c r="H124" s="320"/>
      <c r="I124" s="320"/>
      <c r="J124" s="321"/>
      <c r="L124" s="24"/>
      <c r="M124" s="23"/>
      <c r="N124" s="322">
        <v>20</v>
      </c>
      <c r="O124" s="23"/>
      <c r="P124" s="23"/>
      <c r="Q124" s="320"/>
      <c r="R124" s="320"/>
      <c r="S124" s="320"/>
      <c r="T124" s="321"/>
      <c r="V124" s="124"/>
      <c r="W124" s="47"/>
      <c r="X124" s="125"/>
      <c r="Y124" s="125"/>
    </row>
    <row r="125" spans="2:30" ht="12" customHeight="1">
      <c r="B125" s="24"/>
      <c r="C125" s="23"/>
      <c r="D125" s="323"/>
      <c r="E125" s="23"/>
      <c r="F125" s="23"/>
      <c r="G125" s="320"/>
      <c r="H125" s="320"/>
      <c r="I125" s="320"/>
      <c r="J125" s="321"/>
      <c r="L125" s="24"/>
      <c r="M125" s="23"/>
      <c r="N125" s="323"/>
      <c r="O125" s="23"/>
      <c r="P125" s="23"/>
      <c r="Q125" s="320"/>
      <c r="R125" s="320"/>
      <c r="S125" s="320"/>
      <c r="T125" s="321"/>
      <c r="V125" s="124"/>
      <c r="W125" s="47"/>
      <c r="X125" s="125"/>
      <c r="Y125" s="125"/>
    </row>
    <row r="126" spans="2:30" ht="12" customHeight="1">
      <c r="B126" s="24"/>
      <c r="C126" s="23"/>
      <c r="D126" s="25"/>
      <c r="E126" s="23"/>
      <c r="F126" s="23"/>
      <c r="G126" s="320"/>
      <c r="H126" s="320"/>
      <c r="I126" s="320"/>
      <c r="J126" s="321"/>
      <c r="L126" s="24"/>
      <c r="M126" s="23"/>
      <c r="N126" s="25"/>
      <c r="O126" s="23"/>
      <c r="P126" s="23"/>
      <c r="Q126" s="320"/>
      <c r="R126" s="320"/>
      <c r="S126" s="320"/>
      <c r="T126" s="321"/>
      <c r="V126" s="124"/>
      <c r="W126" s="47"/>
      <c r="X126" s="125"/>
      <c r="Y126" s="125"/>
    </row>
    <row r="127" spans="2:30" ht="6" customHeight="1">
      <c r="B127" s="24"/>
      <c r="C127" s="23"/>
      <c r="D127" s="23"/>
      <c r="E127" s="23"/>
      <c r="F127" s="23"/>
      <c r="G127" s="324" t="str">
        <f>ข้อมูลทำเนียบ!C22</f>
        <v xml:space="preserve">รอง สวป.สภ.มาบตาพุด จว.ระยอง </v>
      </c>
      <c r="H127" s="324"/>
      <c r="I127" s="324"/>
      <c r="J127" s="325"/>
      <c r="L127" s="24"/>
      <c r="M127" s="23"/>
      <c r="N127" s="23"/>
      <c r="O127" s="23"/>
      <c r="P127" s="23"/>
      <c r="Q127" s="324" t="str">
        <f>ข้อมูลทำเนียบ!C23</f>
        <v>รอง สวป.สภ.บ้านฉาง จว.ระยอง</v>
      </c>
      <c r="R127" s="324"/>
      <c r="S127" s="324"/>
      <c r="T127" s="325"/>
      <c r="V127" s="124"/>
      <c r="W127" s="47"/>
      <c r="X127" s="125"/>
      <c r="Y127" s="125"/>
    </row>
    <row r="128" spans="2:30" ht="12" customHeight="1">
      <c r="B128" s="14"/>
      <c r="C128" s="22"/>
      <c r="D128" s="328" t="str">
        <f>ข้อมูลทำเนียบ!L22</f>
        <v>Rh.O</v>
      </c>
      <c r="E128" s="22"/>
      <c r="F128" s="22"/>
      <c r="G128" s="324"/>
      <c r="H128" s="324"/>
      <c r="I128" s="324"/>
      <c r="J128" s="325"/>
      <c r="L128" s="14"/>
      <c r="M128" s="22"/>
      <c r="N128" s="328" t="str">
        <f>ข้อมูลทำเนียบ!L23</f>
        <v>Rh.O</v>
      </c>
      <c r="O128" s="22"/>
      <c r="P128" s="22"/>
      <c r="Q128" s="324"/>
      <c r="R128" s="324"/>
      <c r="S128" s="324"/>
      <c r="T128" s="325"/>
      <c r="V128" s="125"/>
      <c r="W128" s="125"/>
      <c r="X128" s="125"/>
      <c r="Y128" s="125"/>
    </row>
    <row r="129" spans="2:30" ht="12" customHeight="1">
      <c r="B129" s="21"/>
      <c r="C129" s="20"/>
      <c r="D129" s="329"/>
      <c r="E129" s="20"/>
      <c r="F129" s="20"/>
      <c r="G129" s="324"/>
      <c r="H129" s="324"/>
      <c r="I129" s="324"/>
      <c r="J129" s="325"/>
      <c r="L129" s="21"/>
      <c r="M129" s="20"/>
      <c r="N129" s="329"/>
      <c r="O129" s="20"/>
      <c r="P129" s="20"/>
      <c r="Q129" s="324"/>
      <c r="R129" s="324"/>
      <c r="S129" s="324"/>
      <c r="T129" s="325"/>
      <c r="V129" s="125"/>
      <c r="W129" s="125"/>
      <c r="X129" s="125"/>
      <c r="Y129" s="125"/>
    </row>
    <row r="130" spans="2:30" ht="12" customHeight="1">
      <c r="B130" s="21"/>
      <c r="C130" s="20"/>
      <c r="D130" s="330"/>
      <c r="E130" s="20"/>
      <c r="F130" s="20"/>
      <c r="G130" s="324"/>
      <c r="H130" s="324"/>
      <c r="I130" s="324"/>
      <c r="J130" s="325"/>
      <c r="L130" s="21"/>
      <c r="M130" s="20"/>
      <c r="N130" s="330"/>
      <c r="O130" s="20"/>
      <c r="P130" s="20"/>
      <c r="Q130" s="324"/>
      <c r="R130" s="324"/>
      <c r="S130" s="324"/>
      <c r="T130" s="325"/>
      <c r="V130" s="125"/>
      <c r="W130" s="125"/>
      <c r="X130" s="125"/>
      <c r="Y130" s="125"/>
    </row>
    <row r="131" spans="2:30" ht="6" customHeight="1" thickBot="1">
      <c r="B131" s="19"/>
      <c r="C131" s="18"/>
      <c r="D131" s="18"/>
      <c r="E131" s="18"/>
      <c r="F131" s="18"/>
      <c r="G131" s="326"/>
      <c r="H131" s="326"/>
      <c r="I131" s="326"/>
      <c r="J131" s="327"/>
      <c r="L131" s="19"/>
      <c r="M131" s="18"/>
      <c r="N131" s="18"/>
      <c r="O131" s="18"/>
      <c r="P131" s="18"/>
      <c r="Q131" s="326"/>
      <c r="R131" s="326"/>
      <c r="S131" s="326"/>
      <c r="T131" s="327"/>
      <c r="V131" s="125"/>
      <c r="W131" s="125"/>
      <c r="X131" s="125"/>
      <c r="Y131" s="125"/>
    </row>
    <row r="132" spans="2:30" s="259" customFormat="1" ht="39" thickTop="1">
      <c r="B132" s="257"/>
      <c r="C132" s="258"/>
      <c r="D132" s="258"/>
      <c r="E132" s="258"/>
      <c r="F132" s="258"/>
      <c r="G132" s="316" t="str">
        <f>G2</f>
        <v>ปรับพื้นฐานยุทธวิธีตำรวจระดับครูฝึก(สัญญาบัตร) รุ่นที่2</v>
      </c>
      <c r="H132" s="316"/>
      <c r="I132" s="316"/>
      <c r="J132" s="317"/>
      <c r="L132" s="257"/>
      <c r="M132" s="258"/>
      <c r="N132" s="258"/>
      <c r="O132" s="258"/>
      <c r="P132" s="258"/>
      <c r="Q132" s="316" t="str">
        <f>G2</f>
        <v>ปรับพื้นฐานยุทธวิธีตำรวจระดับครูฝึก(สัญญาบัตร) รุ่นที่2</v>
      </c>
      <c r="R132" s="316"/>
      <c r="S132" s="316"/>
      <c r="T132" s="317"/>
      <c r="U132" s="264"/>
      <c r="V132" s="264"/>
      <c r="W132" s="264"/>
      <c r="X132" s="264"/>
      <c r="Y132" s="264"/>
      <c r="Z132" s="264"/>
      <c r="AA132" s="264"/>
      <c r="AB132" s="264"/>
      <c r="AC132" s="264"/>
      <c r="AD132" s="264"/>
    </row>
    <row r="133" spans="2:30" s="262" customFormat="1" ht="16.5" customHeight="1">
      <c r="B133" s="260"/>
      <c r="C133" s="261"/>
      <c r="D133" s="261"/>
      <c r="E133" s="261"/>
      <c r="F133" s="261"/>
      <c r="G133" s="318" t="str">
        <f>G3</f>
        <v xml:space="preserve"> ประจำปีงบประมาณ 2562</v>
      </c>
      <c r="H133" s="318"/>
      <c r="I133" s="318"/>
      <c r="J133" s="319"/>
      <c r="L133" s="260"/>
      <c r="M133" s="261"/>
      <c r="N133" s="261"/>
      <c r="O133" s="261"/>
      <c r="P133" s="261"/>
      <c r="Q133" s="318" t="str">
        <f>G3</f>
        <v xml:space="preserve"> ประจำปีงบประมาณ 2562</v>
      </c>
      <c r="R133" s="318"/>
      <c r="S133" s="318"/>
      <c r="T133" s="319"/>
      <c r="U133" s="265"/>
      <c r="V133" s="266"/>
      <c r="W133" s="266"/>
      <c r="X133" s="266"/>
      <c r="Y133" s="266"/>
      <c r="Z133" s="265"/>
      <c r="AA133" s="265"/>
      <c r="AB133" s="265"/>
      <c r="AC133" s="265"/>
      <c r="AD133" s="265"/>
    </row>
    <row r="134" spans="2:30" ht="6" customHeight="1">
      <c r="B134" s="27"/>
      <c r="C134" s="26"/>
      <c r="D134" s="26"/>
      <c r="E134" s="26"/>
      <c r="F134" s="26"/>
      <c r="G134" s="320" t="str">
        <f>ข้อมูลทำเนียบ!B24</f>
        <v>พ.ต.ท.ชวลิต  อาจหาญ/กั้ง</v>
      </c>
      <c r="H134" s="320"/>
      <c r="I134" s="320"/>
      <c r="J134" s="321"/>
      <c r="L134" s="27"/>
      <c r="M134" s="26"/>
      <c r="N134" s="26"/>
      <c r="O134" s="26"/>
      <c r="P134" s="26"/>
      <c r="Q134" s="320" t="str">
        <f>ข้อมูลทำเนียบ!B25</f>
        <v>พ.ต.ต.เนติวุธ  สุดหนองบัว/เน</v>
      </c>
      <c r="R134" s="320"/>
      <c r="S134" s="320"/>
      <c r="T134" s="321"/>
      <c r="V134" s="124"/>
      <c r="W134" s="47"/>
      <c r="X134" s="125"/>
      <c r="Y134" s="125"/>
    </row>
    <row r="135" spans="2:30" ht="12" customHeight="1">
      <c r="B135" s="27"/>
      <c r="C135" s="26"/>
      <c r="D135" s="25">
        <v>1</v>
      </c>
      <c r="E135" s="26"/>
      <c r="F135" s="26"/>
      <c r="G135" s="320"/>
      <c r="H135" s="320"/>
      <c r="I135" s="320"/>
      <c r="J135" s="321"/>
      <c r="L135" s="27"/>
      <c r="M135" s="26"/>
      <c r="N135" s="25">
        <v>1</v>
      </c>
      <c r="O135" s="26"/>
      <c r="P135" s="26"/>
      <c r="Q135" s="320"/>
      <c r="R135" s="320"/>
      <c r="S135" s="320"/>
      <c r="T135" s="321"/>
      <c r="V135" s="124"/>
      <c r="W135" s="47"/>
      <c r="X135" s="125"/>
      <c r="Y135" s="125"/>
    </row>
    <row r="136" spans="2:30" ht="12" customHeight="1">
      <c r="B136" s="24"/>
      <c r="C136" s="23"/>
      <c r="D136" s="322">
        <v>21</v>
      </c>
      <c r="E136" s="23"/>
      <c r="F136" s="23"/>
      <c r="G136" s="320"/>
      <c r="H136" s="320"/>
      <c r="I136" s="320"/>
      <c r="J136" s="321"/>
      <c r="L136" s="24"/>
      <c r="M136" s="23"/>
      <c r="N136" s="322">
        <v>22</v>
      </c>
      <c r="O136" s="23"/>
      <c r="P136" s="23"/>
      <c r="Q136" s="320"/>
      <c r="R136" s="320"/>
      <c r="S136" s="320"/>
      <c r="T136" s="321"/>
      <c r="V136" s="124"/>
      <c r="W136" s="47"/>
      <c r="X136" s="125"/>
      <c r="Y136" s="125"/>
    </row>
    <row r="137" spans="2:30" ht="12" customHeight="1">
      <c r="B137" s="24"/>
      <c r="C137" s="23"/>
      <c r="D137" s="323"/>
      <c r="E137" s="23"/>
      <c r="F137" s="23"/>
      <c r="G137" s="320"/>
      <c r="H137" s="320"/>
      <c r="I137" s="320"/>
      <c r="J137" s="321"/>
      <c r="L137" s="24"/>
      <c r="M137" s="23"/>
      <c r="N137" s="323"/>
      <c r="O137" s="23"/>
      <c r="P137" s="23"/>
      <c r="Q137" s="320"/>
      <c r="R137" s="320"/>
      <c r="S137" s="320"/>
      <c r="T137" s="321"/>
      <c r="V137" s="124"/>
      <c r="W137" s="47"/>
      <c r="X137" s="125"/>
      <c r="Y137" s="125"/>
    </row>
    <row r="138" spans="2:30" ht="12" customHeight="1">
      <c r="B138" s="24"/>
      <c r="C138" s="23"/>
      <c r="D138" s="25"/>
      <c r="E138" s="23"/>
      <c r="F138" s="23"/>
      <c r="G138" s="320"/>
      <c r="H138" s="320"/>
      <c r="I138" s="320"/>
      <c r="J138" s="321"/>
      <c r="L138" s="24"/>
      <c r="M138" s="23"/>
      <c r="N138" s="25"/>
      <c r="O138" s="23"/>
      <c r="P138" s="23"/>
      <c r="Q138" s="320"/>
      <c r="R138" s="320"/>
      <c r="S138" s="320"/>
      <c r="T138" s="321"/>
      <c r="V138" s="124" t="s">
        <v>8</v>
      </c>
      <c r="W138" s="47"/>
      <c r="X138" s="125"/>
      <c r="Y138" s="125"/>
    </row>
    <row r="139" spans="2:30" ht="6" customHeight="1">
      <c r="B139" s="24"/>
      <c r="C139" s="23"/>
      <c r="D139" s="23"/>
      <c r="E139" s="23"/>
      <c r="F139" s="23"/>
      <c r="G139" s="324" t="str">
        <f>ข้อมูลทำเนียบ!C24</f>
        <v>สวป.สภ.เกษตรวิสัย ภ.จว.ร้อยเอ็ด</v>
      </c>
      <c r="H139" s="324"/>
      <c r="I139" s="324"/>
      <c r="J139" s="325"/>
      <c r="L139" s="24"/>
      <c r="M139" s="23"/>
      <c r="N139" s="23"/>
      <c r="O139" s="23"/>
      <c r="P139" s="23"/>
      <c r="Q139" s="324" t="str">
        <f>ข้อมูลทำเนียบ!C25</f>
        <v>สวป.สภ.เมืองสรวง ภ.จว.ร้อยเอ็ด</v>
      </c>
      <c r="R139" s="324"/>
      <c r="S139" s="324"/>
      <c r="T139" s="325"/>
      <c r="V139" s="124"/>
      <c r="W139" s="47"/>
      <c r="X139" s="125"/>
      <c r="Y139" s="125"/>
    </row>
    <row r="140" spans="2:30" ht="12" customHeight="1">
      <c r="B140" s="14"/>
      <c r="C140" s="22"/>
      <c r="D140" s="328" t="str">
        <f>ข้อมูลทำเนียบ!L24</f>
        <v>Rh.A</v>
      </c>
      <c r="E140" s="22"/>
      <c r="F140" s="22"/>
      <c r="G140" s="324"/>
      <c r="H140" s="324"/>
      <c r="I140" s="324"/>
      <c r="J140" s="325"/>
      <c r="L140" s="14"/>
      <c r="M140" s="22"/>
      <c r="N140" s="328" t="str">
        <f>ข้อมูลทำเนียบ!L25</f>
        <v>Rh.AB</v>
      </c>
      <c r="O140" s="22"/>
      <c r="P140" s="22"/>
      <c r="Q140" s="324"/>
      <c r="R140" s="324"/>
      <c r="S140" s="324"/>
      <c r="T140" s="325"/>
      <c r="V140" s="125"/>
      <c r="W140" s="125"/>
      <c r="X140" s="125"/>
      <c r="Y140" s="125"/>
    </row>
    <row r="141" spans="2:30" ht="12" customHeight="1">
      <c r="B141" s="21"/>
      <c r="C141" s="20"/>
      <c r="D141" s="329"/>
      <c r="E141" s="20"/>
      <c r="F141" s="20"/>
      <c r="G141" s="324"/>
      <c r="H141" s="324"/>
      <c r="I141" s="324"/>
      <c r="J141" s="325"/>
      <c r="L141" s="21"/>
      <c r="M141" s="20"/>
      <c r="N141" s="329"/>
      <c r="O141" s="20"/>
      <c r="P141" s="20"/>
      <c r="Q141" s="324"/>
      <c r="R141" s="324"/>
      <c r="S141" s="324"/>
      <c r="T141" s="325"/>
      <c r="V141" s="125"/>
      <c r="W141" s="125"/>
      <c r="X141" s="125"/>
      <c r="Y141" s="125"/>
    </row>
    <row r="142" spans="2:30" ht="12" customHeight="1">
      <c r="B142" s="21"/>
      <c r="C142" s="20"/>
      <c r="D142" s="330"/>
      <c r="E142" s="20"/>
      <c r="F142" s="20"/>
      <c r="G142" s="324"/>
      <c r="H142" s="324"/>
      <c r="I142" s="324"/>
      <c r="J142" s="325"/>
      <c r="L142" s="21"/>
      <c r="M142" s="20"/>
      <c r="N142" s="330"/>
      <c r="O142" s="20"/>
      <c r="P142" s="20"/>
      <c r="Q142" s="324"/>
      <c r="R142" s="324"/>
      <c r="S142" s="324"/>
      <c r="T142" s="325"/>
      <c r="V142" s="125"/>
      <c r="W142" s="125"/>
      <c r="X142" s="125"/>
      <c r="Y142" s="125"/>
    </row>
    <row r="143" spans="2:30" ht="6" customHeight="1" thickBot="1">
      <c r="B143" s="19"/>
      <c r="C143" s="18"/>
      <c r="D143" s="18"/>
      <c r="E143" s="18"/>
      <c r="F143" s="18"/>
      <c r="G143" s="326"/>
      <c r="H143" s="326"/>
      <c r="I143" s="326"/>
      <c r="J143" s="327"/>
      <c r="L143" s="19"/>
      <c r="M143" s="18"/>
      <c r="N143" s="18"/>
      <c r="O143" s="18"/>
      <c r="P143" s="18"/>
      <c r="Q143" s="326"/>
      <c r="R143" s="326"/>
      <c r="S143" s="326"/>
      <c r="T143" s="327"/>
      <c r="V143" s="125"/>
      <c r="W143" s="125"/>
      <c r="X143" s="125"/>
      <c r="Y143" s="125"/>
    </row>
    <row r="144" spans="2:30" ht="3" customHeight="1" thickTop="1" thickBot="1"/>
    <row r="145" spans="2:30" s="259" customFormat="1" ht="39" thickTop="1">
      <c r="B145" s="257"/>
      <c r="C145" s="258"/>
      <c r="D145" s="258"/>
      <c r="E145" s="258"/>
      <c r="F145" s="258"/>
      <c r="G145" s="316" t="str">
        <f>G2</f>
        <v>ปรับพื้นฐานยุทธวิธีตำรวจระดับครูฝึก(สัญญาบัตร) รุ่นที่2</v>
      </c>
      <c r="H145" s="316"/>
      <c r="I145" s="316"/>
      <c r="J145" s="317"/>
      <c r="L145" s="257"/>
      <c r="M145" s="258"/>
      <c r="N145" s="258"/>
      <c r="O145" s="258"/>
      <c r="P145" s="258"/>
      <c r="Q145" s="316" t="str">
        <f>G2</f>
        <v>ปรับพื้นฐานยุทธวิธีตำรวจระดับครูฝึก(สัญญาบัตร) รุ่นที่2</v>
      </c>
      <c r="R145" s="316"/>
      <c r="S145" s="316"/>
      <c r="T145" s="317"/>
      <c r="U145" s="264"/>
      <c r="V145" s="264"/>
      <c r="W145" s="264"/>
      <c r="X145" s="264"/>
      <c r="Y145" s="264"/>
      <c r="Z145" s="264"/>
      <c r="AA145" s="264"/>
      <c r="AB145" s="264"/>
      <c r="AC145" s="264"/>
      <c r="AD145" s="264"/>
    </row>
    <row r="146" spans="2:30" s="262" customFormat="1" ht="16.5" customHeight="1">
      <c r="B146" s="260"/>
      <c r="C146" s="261"/>
      <c r="D146" s="261"/>
      <c r="E146" s="261"/>
      <c r="F146" s="261"/>
      <c r="G146" s="318" t="str">
        <f>G3</f>
        <v xml:space="preserve"> ประจำปีงบประมาณ 2562</v>
      </c>
      <c r="H146" s="318"/>
      <c r="I146" s="318"/>
      <c r="J146" s="319"/>
      <c r="L146" s="260"/>
      <c r="M146" s="261"/>
      <c r="N146" s="261"/>
      <c r="O146" s="261"/>
      <c r="P146" s="261"/>
      <c r="Q146" s="318" t="str">
        <f>G3</f>
        <v xml:space="preserve"> ประจำปีงบประมาณ 2562</v>
      </c>
      <c r="R146" s="318"/>
      <c r="S146" s="318"/>
      <c r="T146" s="319"/>
      <c r="U146" s="265"/>
      <c r="V146" s="266"/>
      <c r="W146" s="266"/>
      <c r="X146" s="266"/>
      <c r="Y146" s="266"/>
      <c r="Z146" s="265"/>
      <c r="AA146" s="265"/>
      <c r="AB146" s="265"/>
      <c r="AC146" s="265"/>
      <c r="AD146" s="265"/>
    </row>
    <row r="147" spans="2:30" ht="6" customHeight="1">
      <c r="B147" s="27"/>
      <c r="C147" s="26"/>
      <c r="D147" s="26"/>
      <c r="E147" s="26"/>
      <c r="F147" s="26"/>
      <c r="G147" s="320" t="str">
        <f>ข้อมูลทำเนียบ!B26</f>
        <v>ร.ต.อ.สะไกร  ปิดสายะ/ไกร</v>
      </c>
      <c r="H147" s="320"/>
      <c r="I147" s="320"/>
      <c r="J147" s="321"/>
      <c r="L147" s="27"/>
      <c r="M147" s="26"/>
      <c r="N147" s="26"/>
      <c r="O147" s="26"/>
      <c r="P147" s="26"/>
      <c r="Q147" s="320" t="str">
        <f>ข้อมูลทำเนียบ!B27</f>
        <v>ร.ต.อ.ปิยพล  อนันต์เอื้อ/ต๋อง</v>
      </c>
      <c r="R147" s="320"/>
      <c r="S147" s="320"/>
      <c r="T147" s="321"/>
      <c r="V147" s="124"/>
      <c r="W147" s="47"/>
      <c r="X147" s="125"/>
      <c r="Y147" s="125"/>
    </row>
    <row r="148" spans="2:30" ht="12" customHeight="1">
      <c r="B148" s="27"/>
      <c r="C148" s="26"/>
      <c r="D148" s="25">
        <v>1</v>
      </c>
      <c r="E148" s="26"/>
      <c r="F148" s="26"/>
      <c r="G148" s="320"/>
      <c r="H148" s="320"/>
      <c r="I148" s="320"/>
      <c r="J148" s="321"/>
      <c r="L148" s="27"/>
      <c r="M148" s="26"/>
      <c r="N148" s="25">
        <v>1</v>
      </c>
      <c r="O148" s="26"/>
      <c r="P148" s="26"/>
      <c r="Q148" s="320"/>
      <c r="R148" s="320"/>
      <c r="S148" s="320"/>
      <c r="T148" s="321"/>
      <c r="V148" s="124"/>
      <c r="W148" s="47"/>
      <c r="X148" s="125"/>
      <c r="Y148" s="125"/>
    </row>
    <row r="149" spans="2:30" ht="12" customHeight="1">
      <c r="B149" s="24"/>
      <c r="C149" s="23"/>
      <c r="D149" s="322">
        <v>23</v>
      </c>
      <c r="E149" s="23"/>
      <c r="F149" s="23"/>
      <c r="G149" s="320"/>
      <c r="H149" s="320"/>
      <c r="I149" s="320"/>
      <c r="J149" s="321"/>
      <c r="L149" s="24"/>
      <c r="M149" s="23"/>
      <c r="N149" s="322">
        <v>24</v>
      </c>
      <c r="O149" s="23"/>
      <c r="P149" s="23"/>
      <c r="Q149" s="320"/>
      <c r="R149" s="320"/>
      <c r="S149" s="320"/>
      <c r="T149" s="321"/>
      <c r="V149" s="124"/>
      <c r="W149" s="47"/>
      <c r="X149" s="125"/>
      <c r="Y149" s="125"/>
    </row>
    <row r="150" spans="2:30" ht="12" customHeight="1">
      <c r="B150" s="24"/>
      <c r="C150" s="23"/>
      <c r="D150" s="323"/>
      <c r="E150" s="23"/>
      <c r="F150" s="23"/>
      <c r="G150" s="320"/>
      <c r="H150" s="320"/>
      <c r="I150" s="320"/>
      <c r="J150" s="321"/>
      <c r="L150" s="24"/>
      <c r="M150" s="23"/>
      <c r="N150" s="323"/>
      <c r="O150" s="23"/>
      <c r="P150" s="23"/>
      <c r="Q150" s="320"/>
      <c r="R150" s="320"/>
      <c r="S150" s="320"/>
      <c r="T150" s="321"/>
      <c r="V150" s="124"/>
      <c r="W150" s="47"/>
      <c r="X150" s="125"/>
      <c r="Y150" s="125"/>
    </row>
    <row r="151" spans="2:30" ht="12" customHeight="1">
      <c r="B151" s="24"/>
      <c r="C151" s="23"/>
      <c r="D151" s="25"/>
      <c r="E151" s="23"/>
      <c r="F151" s="23"/>
      <c r="G151" s="320"/>
      <c r="H151" s="320"/>
      <c r="I151" s="320"/>
      <c r="J151" s="321"/>
      <c r="L151" s="24"/>
      <c r="M151" s="23"/>
      <c r="N151" s="25"/>
      <c r="O151" s="23"/>
      <c r="P151" s="23"/>
      <c r="Q151" s="320"/>
      <c r="R151" s="320"/>
      <c r="S151" s="320"/>
      <c r="T151" s="321"/>
      <c r="V151" s="124"/>
      <c r="W151" s="47"/>
      <c r="X151" s="125"/>
      <c r="Y151" s="125"/>
    </row>
    <row r="152" spans="2:30" ht="6" customHeight="1">
      <c r="B152" s="24"/>
      <c r="C152" s="23"/>
      <c r="D152" s="23"/>
      <c r="E152" s="23"/>
      <c r="F152" s="23"/>
      <c r="G152" s="324" t="str">
        <f>ข้อมูลทำเนียบ!C26</f>
        <v>รอง สวป.สภ.ท่าคันโท ภ.จว.กาฬสินธุ์</v>
      </c>
      <c r="H152" s="324"/>
      <c r="I152" s="324"/>
      <c r="J152" s="325"/>
      <c r="L152" s="24"/>
      <c r="M152" s="23"/>
      <c r="N152" s="23"/>
      <c r="O152" s="23"/>
      <c r="P152" s="23"/>
      <c r="Q152" s="324" t="str">
        <f>ข้อมูลทำเนียบ!C27</f>
        <v>รอง สว.สส.สภ.ดอนจาน ภ.จว.กาฬสินธุ์</v>
      </c>
      <c r="R152" s="324"/>
      <c r="S152" s="324"/>
      <c r="T152" s="325"/>
      <c r="V152" s="124"/>
      <c r="W152" s="47"/>
      <c r="X152" s="125"/>
      <c r="Y152" s="125"/>
    </row>
    <row r="153" spans="2:30" ht="12" customHeight="1">
      <c r="B153" s="14"/>
      <c r="C153" s="22"/>
      <c r="D153" s="328" t="str">
        <f>ข้อมูลทำเนียบ!L26</f>
        <v>Rh.AB</v>
      </c>
      <c r="E153" s="22"/>
      <c r="F153" s="22"/>
      <c r="G153" s="324"/>
      <c r="H153" s="324"/>
      <c r="I153" s="324"/>
      <c r="J153" s="325"/>
      <c r="L153" s="14"/>
      <c r="M153" s="22"/>
      <c r="N153" s="328" t="str">
        <f>ข้อมูลทำเนียบ!L27</f>
        <v>Rh.O</v>
      </c>
      <c r="O153" s="22"/>
      <c r="P153" s="22"/>
      <c r="Q153" s="324"/>
      <c r="R153" s="324"/>
      <c r="S153" s="324"/>
      <c r="T153" s="325"/>
      <c r="V153" s="125"/>
      <c r="W153" s="125"/>
      <c r="X153" s="125"/>
      <c r="Y153" s="125"/>
    </row>
    <row r="154" spans="2:30" ht="12" customHeight="1">
      <c r="B154" s="21"/>
      <c r="C154" s="20"/>
      <c r="D154" s="329"/>
      <c r="E154" s="20"/>
      <c r="F154" s="20"/>
      <c r="G154" s="324"/>
      <c r="H154" s="324"/>
      <c r="I154" s="324"/>
      <c r="J154" s="325"/>
      <c r="L154" s="21"/>
      <c r="M154" s="20"/>
      <c r="N154" s="329"/>
      <c r="O154" s="20"/>
      <c r="P154" s="20"/>
      <c r="Q154" s="324"/>
      <c r="R154" s="324"/>
      <c r="S154" s="324"/>
      <c r="T154" s="325"/>
      <c r="V154" s="125"/>
      <c r="W154" s="125"/>
      <c r="X154" s="125"/>
      <c r="Y154" s="125"/>
    </row>
    <row r="155" spans="2:30" ht="12" customHeight="1">
      <c r="B155" s="21"/>
      <c r="C155" s="20"/>
      <c r="D155" s="330"/>
      <c r="E155" s="20"/>
      <c r="F155" s="20"/>
      <c r="G155" s="324"/>
      <c r="H155" s="324"/>
      <c r="I155" s="324"/>
      <c r="J155" s="325"/>
      <c r="L155" s="21"/>
      <c r="M155" s="20"/>
      <c r="N155" s="330"/>
      <c r="O155" s="20"/>
      <c r="P155" s="20"/>
      <c r="Q155" s="324"/>
      <c r="R155" s="324"/>
      <c r="S155" s="324"/>
      <c r="T155" s="325"/>
      <c r="V155" s="125"/>
      <c r="W155" s="125"/>
      <c r="X155" s="125"/>
      <c r="Y155" s="125"/>
    </row>
    <row r="156" spans="2:30" ht="6" customHeight="1" thickBot="1">
      <c r="B156" s="19"/>
      <c r="C156" s="18"/>
      <c r="D156" s="18"/>
      <c r="E156" s="18"/>
      <c r="F156" s="18"/>
      <c r="G156" s="326"/>
      <c r="H156" s="326"/>
      <c r="I156" s="326"/>
      <c r="J156" s="327"/>
      <c r="L156" s="19"/>
      <c r="M156" s="18"/>
      <c r="N156" s="18"/>
      <c r="O156" s="18"/>
      <c r="P156" s="18"/>
      <c r="Q156" s="326"/>
      <c r="R156" s="326"/>
      <c r="S156" s="326"/>
      <c r="T156" s="327"/>
      <c r="V156" s="125"/>
      <c r="W156" s="125"/>
      <c r="X156" s="125"/>
      <c r="Y156" s="125"/>
    </row>
    <row r="157" spans="2:30" ht="3" customHeight="1" thickTop="1" thickBot="1"/>
    <row r="158" spans="2:30" s="259" customFormat="1" ht="39" thickTop="1">
      <c r="B158" s="257"/>
      <c r="C158" s="258"/>
      <c r="D158" s="258"/>
      <c r="E158" s="258"/>
      <c r="F158" s="258"/>
      <c r="G158" s="316" t="str">
        <f>G2</f>
        <v>ปรับพื้นฐานยุทธวิธีตำรวจระดับครูฝึก(สัญญาบัตร) รุ่นที่2</v>
      </c>
      <c r="H158" s="316"/>
      <c r="I158" s="316"/>
      <c r="J158" s="317"/>
      <c r="L158" s="257"/>
      <c r="M158" s="258"/>
      <c r="N158" s="258"/>
      <c r="O158" s="258"/>
      <c r="P158" s="258"/>
      <c r="Q158" s="316" t="str">
        <f>G2</f>
        <v>ปรับพื้นฐานยุทธวิธีตำรวจระดับครูฝึก(สัญญาบัตร) รุ่นที่2</v>
      </c>
      <c r="R158" s="316"/>
      <c r="S158" s="316"/>
      <c r="T158" s="317"/>
      <c r="U158" s="264"/>
      <c r="V158" s="264"/>
      <c r="W158" s="264"/>
      <c r="X158" s="264"/>
      <c r="Y158" s="264"/>
      <c r="Z158" s="264"/>
      <c r="AA158" s="264"/>
      <c r="AB158" s="264"/>
      <c r="AC158" s="264"/>
      <c r="AD158" s="264"/>
    </row>
    <row r="159" spans="2:30" s="262" customFormat="1" ht="16.5" customHeight="1">
      <c r="B159" s="260"/>
      <c r="C159" s="261"/>
      <c r="D159" s="261"/>
      <c r="E159" s="261"/>
      <c r="F159" s="261"/>
      <c r="G159" s="318" t="str">
        <f>G3</f>
        <v xml:space="preserve"> ประจำปีงบประมาณ 2562</v>
      </c>
      <c r="H159" s="318"/>
      <c r="I159" s="318"/>
      <c r="J159" s="319"/>
      <c r="L159" s="260"/>
      <c r="M159" s="261"/>
      <c r="N159" s="261"/>
      <c r="O159" s="261"/>
      <c r="P159" s="261"/>
      <c r="Q159" s="318" t="str">
        <f>G3</f>
        <v xml:space="preserve"> ประจำปีงบประมาณ 2562</v>
      </c>
      <c r="R159" s="318"/>
      <c r="S159" s="318"/>
      <c r="T159" s="319"/>
      <c r="U159" s="265"/>
      <c r="V159" s="266"/>
      <c r="W159" s="266"/>
      <c r="X159" s="266"/>
      <c r="Y159" s="266"/>
      <c r="Z159" s="265"/>
      <c r="AA159" s="265"/>
      <c r="AB159" s="265"/>
      <c r="AC159" s="265"/>
      <c r="AD159" s="265"/>
    </row>
    <row r="160" spans="2:30" ht="6" customHeight="1">
      <c r="B160" s="27"/>
      <c r="C160" s="26"/>
      <c r="D160" s="26"/>
      <c r="E160" s="26"/>
      <c r="F160" s="26"/>
      <c r="G160" s="320" t="str">
        <f>ข้อมูลทำเนียบ!B28</f>
        <v>ร.ต.อ.ศิริชัย  ปลัดขวา/เม้า</v>
      </c>
      <c r="H160" s="320"/>
      <c r="I160" s="320"/>
      <c r="J160" s="321"/>
      <c r="L160" s="27"/>
      <c r="M160" s="26"/>
      <c r="N160" s="26"/>
      <c r="O160" s="26"/>
      <c r="P160" s="26"/>
      <c r="Q160" s="320" t="str">
        <f>ข้อมูลทำเนียบ!B29</f>
        <v>ร.ต.อ.สุวสันต์  นาหาร/เสือ</v>
      </c>
      <c r="R160" s="320"/>
      <c r="S160" s="320"/>
      <c r="T160" s="321"/>
      <c r="V160" s="124"/>
      <c r="W160" s="47"/>
      <c r="X160" s="125"/>
      <c r="Y160" s="125"/>
    </row>
    <row r="161" spans="2:30" ht="12" customHeight="1">
      <c r="B161" s="27"/>
      <c r="C161" s="26"/>
      <c r="D161" s="25">
        <v>1</v>
      </c>
      <c r="E161" s="26"/>
      <c r="F161" s="26"/>
      <c r="G161" s="320"/>
      <c r="H161" s="320"/>
      <c r="I161" s="320"/>
      <c r="J161" s="321"/>
      <c r="L161" s="27"/>
      <c r="M161" s="26"/>
      <c r="N161" s="25">
        <v>1</v>
      </c>
      <c r="O161" s="26"/>
      <c r="P161" s="26"/>
      <c r="Q161" s="320"/>
      <c r="R161" s="320"/>
      <c r="S161" s="320"/>
      <c r="T161" s="321"/>
      <c r="V161" s="124"/>
      <c r="W161" s="47"/>
      <c r="X161" s="125"/>
      <c r="Y161" s="125"/>
    </row>
    <row r="162" spans="2:30" ht="12" customHeight="1">
      <c r="B162" s="24"/>
      <c r="C162" s="23"/>
      <c r="D162" s="322">
        <v>25</v>
      </c>
      <c r="E162" s="23"/>
      <c r="F162" s="23"/>
      <c r="G162" s="320"/>
      <c r="H162" s="320"/>
      <c r="I162" s="320"/>
      <c r="J162" s="321"/>
      <c r="L162" s="24"/>
      <c r="M162" s="23"/>
      <c r="N162" s="322">
        <v>26</v>
      </c>
      <c r="O162" s="23"/>
      <c r="P162" s="23"/>
      <c r="Q162" s="320"/>
      <c r="R162" s="320"/>
      <c r="S162" s="320"/>
      <c r="T162" s="321"/>
      <c r="V162" s="124"/>
      <c r="W162" s="47"/>
      <c r="X162" s="125"/>
      <c r="Y162" s="125"/>
    </row>
    <row r="163" spans="2:30" ht="12" customHeight="1">
      <c r="B163" s="24"/>
      <c r="C163" s="23"/>
      <c r="D163" s="323"/>
      <c r="E163" s="23"/>
      <c r="F163" s="23"/>
      <c r="G163" s="320"/>
      <c r="H163" s="320"/>
      <c r="I163" s="320"/>
      <c r="J163" s="321"/>
      <c r="L163" s="24"/>
      <c r="M163" s="23"/>
      <c r="N163" s="323"/>
      <c r="O163" s="23"/>
      <c r="P163" s="23"/>
      <c r="Q163" s="320"/>
      <c r="R163" s="320"/>
      <c r="S163" s="320"/>
      <c r="T163" s="321"/>
      <c r="V163" s="124"/>
      <c r="W163" s="47"/>
      <c r="X163" s="125"/>
      <c r="Y163" s="125"/>
    </row>
    <row r="164" spans="2:30" ht="12" customHeight="1">
      <c r="B164" s="24"/>
      <c r="C164" s="23"/>
      <c r="D164" s="25"/>
      <c r="E164" s="23"/>
      <c r="F164" s="23"/>
      <c r="G164" s="320"/>
      <c r="H164" s="320"/>
      <c r="I164" s="320"/>
      <c r="J164" s="321"/>
      <c r="L164" s="24"/>
      <c r="M164" s="23"/>
      <c r="N164" s="25"/>
      <c r="O164" s="23"/>
      <c r="P164" s="23"/>
      <c r="Q164" s="320"/>
      <c r="R164" s="320"/>
      <c r="S164" s="320"/>
      <c r="T164" s="321"/>
      <c r="V164" s="124"/>
      <c r="W164" s="47"/>
      <c r="X164" s="125"/>
      <c r="Y164" s="125"/>
    </row>
    <row r="165" spans="2:30" ht="6" customHeight="1">
      <c r="B165" s="24"/>
      <c r="C165" s="23"/>
      <c r="D165" s="23"/>
      <c r="E165" s="23"/>
      <c r="F165" s="23"/>
      <c r="G165" s="324" t="str">
        <f>ข้อมูลทำเนียบ!C28</f>
        <v>รอง สวป.ฯ ปรก.สภ.บ้านไผ่ ภ.จว.ขอนแก่น</v>
      </c>
      <c r="H165" s="324"/>
      <c r="I165" s="324"/>
      <c r="J165" s="325"/>
      <c r="L165" s="24"/>
      <c r="M165" s="23"/>
      <c r="N165" s="23"/>
      <c r="O165" s="23"/>
      <c r="P165" s="23"/>
      <c r="Q165" s="324" t="str">
        <f>ข้อมูลทำเนียบ!C29</f>
        <v>รอง สวป.สภ.บ้านแฮด ภ.จว.ขอนแก่น</v>
      </c>
      <c r="R165" s="324"/>
      <c r="S165" s="324"/>
      <c r="T165" s="325"/>
      <c r="V165" s="124"/>
      <c r="W165" s="47"/>
      <c r="X165" s="125"/>
      <c r="Y165" s="125"/>
    </row>
    <row r="166" spans="2:30" ht="12" customHeight="1">
      <c r="B166" s="14"/>
      <c r="C166" s="22"/>
      <c r="D166" s="328" t="str">
        <f>ข้อมูลทำเนียบ!L28</f>
        <v>Rh.A</v>
      </c>
      <c r="E166" s="22"/>
      <c r="F166" s="22"/>
      <c r="G166" s="324"/>
      <c r="H166" s="324"/>
      <c r="I166" s="324"/>
      <c r="J166" s="325"/>
      <c r="L166" s="14"/>
      <c r="M166" s="22"/>
      <c r="N166" s="328" t="str">
        <f>ข้อมูลทำเนียบ!L29</f>
        <v>Rh.O</v>
      </c>
      <c r="O166" s="22"/>
      <c r="P166" s="22"/>
      <c r="Q166" s="324"/>
      <c r="R166" s="324"/>
      <c r="S166" s="324"/>
      <c r="T166" s="325"/>
      <c r="V166" s="125"/>
      <c r="W166" s="125"/>
      <c r="X166" s="125"/>
      <c r="Y166" s="125"/>
    </row>
    <row r="167" spans="2:30" ht="12" customHeight="1">
      <c r="B167" s="21"/>
      <c r="C167" s="20"/>
      <c r="D167" s="329"/>
      <c r="E167" s="20"/>
      <c r="F167" s="20"/>
      <c r="G167" s="324"/>
      <c r="H167" s="324"/>
      <c r="I167" s="324"/>
      <c r="J167" s="325"/>
      <c r="L167" s="21"/>
      <c r="M167" s="20"/>
      <c r="N167" s="329"/>
      <c r="O167" s="20"/>
      <c r="P167" s="20"/>
      <c r="Q167" s="324"/>
      <c r="R167" s="324"/>
      <c r="S167" s="324"/>
      <c r="T167" s="325"/>
      <c r="V167" s="125"/>
      <c r="W167" s="125"/>
      <c r="X167" s="125"/>
      <c r="Y167" s="125"/>
    </row>
    <row r="168" spans="2:30" ht="12" customHeight="1">
      <c r="B168" s="21"/>
      <c r="C168" s="20"/>
      <c r="D168" s="330"/>
      <c r="E168" s="20"/>
      <c r="F168" s="20"/>
      <c r="G168" s="324"/>
      <c r="H168" s="324"/>
      <c r="I168" s="324"/>
      <c r="J168" s="325"/>
      <c r="L168" s="21"/>
      <c r="M168" s="20"/>
      <c r="N168" s="330"/>
      <c r="O168" s="20"/>
      <c r="P168" s="20"/>
      <c r="Q168" s="324"/>
      <c r="R168" s="324"/>
      <c r="S168" s="324"/>
      <c r="T168" s="325"/>
      <c r="V168" s="125"/>
      <c r="W168" s="125"/>
      <c r="X168" s="125"/>
      <c r="Y168" s="125"/>
    </row>
    <row r="169" spans="2:30" ht="6" customHeight="1" thickBot="1">
      <c r="B169" s="19"/>
      <c r="C169" s="18"/>
      <c r="D169" s="18"/>
      <c r="E169" s="18"/>
      <c r="F169" s="18"/>
      <c r="G169" s="326"/>
      <c r="H169" s="326"/>
      <c r="I169" s="326"/>
      <c r="J169" s="327"/>
      <c r="L169" s="19"/>
      <c r="M169" s="18"/>
      <c r="N169" s="18"/>
      <c r="O169" s="18"/>
      <c r="P169" s="18"/>
      <c r="Q169" s="326"/>
      <c r="R169" s="326"/>
      <c r="S169" s="326"/>
      <c r="T169" s="327"/>
      <c r="V169" s="125"/>
      <c r="W169" s="125"/>
      <c r="X169" s="125"/>
      <c r="Y169" s="125"/>
    </row>
    <row r="170" spans="2:30" ht="3" customHeight="1" thickTop="1" thickBot="1"/>
    <row r="171" spans="2:30" s="259" customFormat="1" ht="39" thickTop="1">
      <c r="B171" s="257"/>
      <c r="C171" s="258"/>
      <c r="D171" s="258"/>
      <c r="E171" s="258"/>
      <c r="F171" s="258"/>
      <c r="G171" s="316" t="str">
        <f>G2</f>
        <v>ปรับพื้นฐานยุทธวิธีตำรวจระดับครูฝึก(สัญญาบัตร) รุ่นที่2</v>
      </c>
      <c r="H171" s="316"/>
      <c r="I171" s="316"/>
      <c r="J171" s="317"/>
      <c r="L171" s="257"/>
      <c r="M171" s="258"/>
      <c r="N171" s="258"/>
      <c r="O171" s="258"/>
      <c r="P171" s="258"/>
      <c r="Q171" s="316" t="str">
        <f>G2</f>
        <v>ปรับพื้นฐานยุทธวิธีตำรวจระดับครูฝึก(สัญญาบัตร) รุ่นที่2</v>
      </c>
      <c r="R171" s="316"/>
      <c r="S171" s="316"/>
      <c r="T171" s="317"/>
      <c r="U171" s="264"/>
      <c r="V171" s="264"/>
      <c r="W171" s="264"/>
      <c r="X171" s="264"/>
      <c r="Y171" s="264"/>
      <c r="Z171" s="264"/>
      <c r="AA171" s="264"/>
      <c r="AB171" s="264"/>
      <c r="AC171" s="264"/>
      <c r="AD171" s="264"/>
    </row>
    <row r="172" spans="2:30" s="262" customFormat="1" ht="16.5" customHeight="1">
      <c r="B172" s="260"/>
      <c r="C172" s="261"/>
      <c r="D172" s="261"/>
      <c r="E172" s="261"/>
      <c r="F172" s="261"/>
      <c r="G172" s="318" t="str">
        <f>G3</f>
        <v xml:space="preserve"> ประจำปีงบประมาณ 2562</v>
      </c>
      <c r="H172" s="318"/>
      <c r="I172" s="318"/>
      <c r="J172" s="319"/>
      <c r="L172" s="260"/>
      <c r="M172" s="261"/>
      <c r="N172" s="261"/>
      <c r="O172" s="261"/>
      <c r="P172" s="261"/>
      <c r="Q172" s="318" t="str">
        <f>G3</f>
        <v xml:space="preserve"> ประจำปีงบประมาณ 2562</v>
      </c>
      <c r="R172" s="318"/>
      <c r="S172" s="318"/>
      <c r="T172" s="319"/>
      <c r="U172" s="265"/>
      <c r="V172" s="266"/>
      <c r="W172" s="266"/>
      <c r="X172" s="266"/>
      <c r="Y172" s="266"/>
      <c r="Z172" s="265"/>
      <c r="AA172" s="265"/>
      <c r="AB172" s="265"/>
      <c r="AC172" s="265"/>
      <c r="AD172" s="265"/>
    </row>
    <row r="173" spans="2:30" ht="6" customHeight="1">
      <c r="B173" s="27"/>
      <c r="C173" s="26"/>
      <c r="D173" s="26"/>
      <c r="E173" s="26"/>
      <c r="F173" s="26"/>
      <c r="G173" s="320" t="str">
        <f>ข้อมูลทำเนียบ!B30</f>
        <v>ร.ต.อ.ศุภชาติ  โพธิจันทร์/ชาติ</v>
      </c>
      <c r="H173" s="320"/>
      <c r="I173" s="320"/>
      <c r="J173" s="321"/>
      <c r="L173" s="27"/>
      <c r="M173" s="26"/>
      <c r="N173" s="26"/>
      <c r="O173" s="26"/>
      <c r="P173" s="26"/>
      <c r="Q173" s="320" t="str">
        <f>ข้อมูลทำเนียบ!B31</f>
        <v>ร.ต.อ.จักริน  โสดาวิชิต/โทน</v>
      </c>
      <c r="R173" s="320"/>
      <c r="S173" s="320"/>
      <c r="T173" s="321"/>
      <c r="V173" s="124"/>
      <c r="W173" s="47"/>
      <c r="X173" s="125"/>
      <c r="Y173" s="125"/>
    </row>
    <row r="174" spans="2:30" ht="12" customHeight="1">
      <c r="B174" s="27"/>
      <c r="C174" s="26"/>
      <c r="D174" s="25">
        <v>1</v>
      </c>
      <c r="E174" s="26"/>
      <c r="F174" s="26"/>
      <c r="G174" s="320"/>
      <c r="H174" s="320"/>
      <c r="I174" s="320"/>
      <c r="J174" s="321"/>
      <c r="L174" s="27"/>
      <c r="M174" s="26"/>
      <c r="N174" s="25">
        <v>1</v>
      </c>
      <c r="O174" s="26"/>
      <c r="P174" s="26"/>
      <c r="Q174" s="320"/>
      <c r="R174" s="320"/>
      <c r="S174" s="320"/>
      <c r="T174" s="321"/>
      <c r="V174" s="124"/>
      <c r="W174" s="47"/>
      <c r="X174" s="125"/>
      <c r="Y174" s="125"/>
    </row>
    <row r="175" spans="2:30" ht="12" customHeight="1">
      <c r="B175" s="24"/>
      <c r="C175" s="23"/>
      <c r="D175" s="322">
        <v>27</v>
      </c>
      <c r="E175" s="23"/>
      <c r="F175" s="23"/>
      <c r="G175" s="320"/>
      <c r="H175" s="320"/>
      <c r="I175" s="320"/>
      <c r="J175" s="321"/>
      <c r="L175" s="24"/>
      <c r="M175" s="23"/>
      <c r="N175" s="322">
        <v>28</v>
      </c>
      <c r="O175" s="23"/>
      <c r="P175" s="23"/>
      <c r="Q175" s="320"/>
      <c r="R175" s="320"/>
      <c r="S175" s="320"/>
      <c r="T175" s="321"/>
      <c r="V175" s="124"/>
      <c r="W175" s="47"/>
      <c r="X175" s="125"/>
      <c r="Y175" s="125"/>
    </row>
    <row r="176" spans="2:30" ht="12" customHeight="1">
      <c r="B176" s="24"/>
      <c r="C176" s="23"/>
      <c r="D176" s="323"/>
      <c r="E176" s="23"/>
      <c r="F176" s="23"/>
      <c r="G176" s="320"/>
      <c r="H176" s="320"/>
      <c r="I176" s="320"/>
      <c r="J176" s="321"/>
      <c r="L176" s="24"/>
      <c r="M176" s="23"/>
      <c r="N176" s="323"/>
      <c r="O176" s="23"/>
      <c r="P176" s="23"/>
      <c r="Q176" s="320"/>
      <c r="R176" s="320"/>
      <c r="S176" s="320"/>
      <c r="T176" s="321"/>
      <c r="V176" s="124"/>
      <c r="W176" s="47"/>
      <c r="X176" s="125"/>
      <c r="Y176" s="125"/>
    </row>
    <row r="177" spans="2:30" ht="12" customHeight="1">
      <c r="B177" s="24"/>
      <c r="C177" s="23"/>
      <c r="D177" s="25"/>
      <c r="E177" s="23"/>
      <c r="F177" s="23"/>
      <c r="G177" s="320"/>
      <c r="H177" s="320"/>
      <c r="I177" s="320"/>
      <c r="J177" s="321"/>
      <c r="L177" s="24"/>
      <c r="M177" s="23"/>
      <c r="N177" s="25"/>
      <c r="O177" s="23"/>
      <c r="P177" s="23"/>
      <c r="Q177" s="320"/>
      <c r="R177" s="320"/>
      <c r="S177" s="320"/>
      <c r="T177" s="321"/>
      <c r="V177" s="124"/>
      <c r="W177" s="47"/>
      <c r="X177" s="125"/>
      <c r="Y177" s="125"/>
    </row>
    <row r="178" spans="2:30" ht="6" customHeight="1">
      <c r="B178" s="24"/>
      <c r="C178" s="23"/>
      <c r="D178" s="23"/>
      <c r="E178" s="23"/>
      <c r="F178" s="23"/>
      <c r="G178" s="324" t="str">
        <f>ข้อมูลทำเนียบ!C30</f>
        <v>รอง สว.กก.สืบสวน ภ.จว.หนองคาย</v>
      </c>
      <c r="H178" s="324"/>
      <c r="I178" s="324"/>
      <c r="J178" s="325"/>
      <c r="L178" s="24"/>
      <c r="M178" s="23"/>
      <c r="N178" s="23"/>
      <c r="O178" s="23"/>
      <c r="P178" s="23"/>
      <c r="Q178" s="324" t="str">
        <f>ข้อมูลทำเนียบ!C31</f>
        <v>รอง สวป.สภ.รัตนะวาปี ภ.จว.หนองคาย</v>
      </c>
      <c r="R178" s="324"/>
      <c r="S178" s="324"/>
      <c r="T178" s="325"/>
      <c r="V178" s="124"/>
      <c r="W178" s="47"/>
      <c r="X178" s="125"/>
      <c r="Y178" s="125"/>
    </row>
    <row r="179" spans="2:30" ht="12" customHeight="1">
      <c r="B179" s="14"/>
      <c r="C179" s="22"/>
      <c r="D179" s="328" t="str">
        <f>ข้อมูลทำเนียบ!L30</f>
        <v>Rh.O</v>
      </c>
      <c r="E179" s="22"/>
      <c r="F179" s="22"/>
      <c r="G179" s="324"/>
      <c r="H179" s="324"/>
      <c r="I179" s="324"/>
      <c r="J179" s="325"/>
      <c r="L179" s="14"/>
      <c r="M179" s="22"/>
      <c r="N179" s="328" t="str">
        <f>ข้อมูลทำเนียบ!L31</f>
        <v>Rh.A</v>
      </c>
      <c r="O179" s="22"/>
      <c r="P179" s="22"/>
      <c r="Q179" s="324"/>
      <c r="R179" s="324"/>
      <c r="S179" s="324"/>
      <c r="T179" s="325"/>
      <c r="V179" s="125"/>
      <c r="W179" s="125"/>
      <c r="X179" s="125"/>
      <c r="Y179" s="125"/>
    </row>
    <row r="180" spans="2:30" ht="12" customHeight="1">
      <c r="B180" s="21"/>
      <c r="C180" s="20"/>
      <c r="D180" s="329"/>
      <c r="E180" s="20"/>
      <c r="F180" s="20"/>
      <c r="G180" s="324"/>
      <c r="H180" s="324"/>
      <c r="I180" s="324"/>
      <c r="J180" s="325"/>
      <c r="L180" s="21"/>
      <c r="M180" s="20"/>
      <c r="N180" s="329"/>
      <c r="O180" s="20"/>
      <c r="P180" s="20"/>
      <c r="Q180" s="324"/>
      <c r="R180" s="324"/>
      <c r="S180" s="324"/>
      <c r="T180" s="325"/>
      <c r="V180" s="125"/>
      <c r="W180" s="125"/>
      <c r="X180" s="125"/>
      <c r="Y180" s="125"/>
    </row>
    <row r="181" spans="2:30" ht="12" customHeight="1">
      <c r="B181" s="21"/>
      <c r="C181" s="20"/>
      <c r="D181" s="330"/>
      <c r="E181" s="20"/>
      <c r="F181" s="20"/>
      <c r="G181" s="324"/>
      <c r="H181" s="324"/>
      <c r="I181" s="324"/>
      <c r="J181" s="325"/>
      <c r="L181" s="21"/>
      <c r="M181" s="20"/>
      <c r="N181" s="330"/>
      <c r="O181" s="20"/>
      <c r="P181" s="20"/>
      <c r="Q181" s="324"/>
      <c r="R181" s="324"/>
      <c r="S181" s="324"/>
      <c r="T181" s="325"/>
      <c r="V181" s="125"/>
      <c r="W181" s="125"/>
      <c r="X181" s="125"/>
      <c r="Y181" s="125"/>
    </row>
    <row r="182" spans="2:30" ht="6" customHeight="1" thickBot="1">
      <c r="B182" s="19"/>
      <c r="C182" s="18"/>
      <c r="D182" s="18"/>
      <c r="E182" s="18"/>
      <c r="F182" s="18"/>
      <c r="G182" s="326"/>
      <c r="H182" s="326"/>
      <c r="I182" s="326"/>
      <c r="J182" s="327"/>
      <c r="L182" s="19"/>
      <c r="M182" s="18"/>
      <c r="N182" s="18"/>
      <c r="O182" s="18"/>
      <c r="P182" s="18"/>
      <c r="Q182" s="326"/>
      <c r="R182" s="326"/>
      <c r="S182" s="326"/>
      <c r="T182" s="327"/>
      <c r="V182" s="125"/>
      <c r="W182" s="125"/>
      <c r="X182" s="125"/>
      <c r="Y182" s="125"/>
    </row>
    <row r="183" spans="2:30" ht="3" customHeight="1" thickTop="1" thickBot="1"/>
    <row r="184" spans="2:30" s="259" customFormat="1" ht="39" thickTop="1">
      <c r="B184" s="257"/>
      <c r="C184" s="258"/>
      <c r="D184" s="258"/>
      <c r="E184" s="258"/>
      <c r="F184" s="258"/>
      <c r="G184" s="316" t="str">
        <f>G2</f>
        <v>ปรับพื้นฐานยุทธวิธีตำรวจระดับครูฝึก(สัญญาบัตร) รุ่นที่2</v>
      </c>
      <c r="H184" s="316"/>
      <c r="I184" s="316"/>
      <c r="J184" s="317"/>
      <c r="L184" s="257"/>
      <c r="M184" s="258"/>
      <c r="N184" s="258"/>
      <c r="O184" s="258"/>
      <c r="P184" s="258"/>
      <c r="Q184" s="316" t="str">
        <f>G2</f>
        <v>ปรับพื้นฐานยุทธวิธีตำรวจระดับครูฝึก(สัญญาบัตร) รุ่นที่2</v>
      </c>
      <c r="R184" s="316"/>
      <c r="S184" s="316"/>
      <c r="T184" s="317"/>
      <c r="U184" s="264"/>
      <c r="V184" s="264"/>
      <c r="W184" s="264"/>
      <c r="X184" s="264"/>
      <c r="Y184" s="264"/>
      <c r="Z184" s="264"/>
      <c r="AA184" s="264"/>
      <c r="AB184" s="264"/>
      <c r="AC184" s="264"/>
      <c r="AD184" s="264"/>
    </row>
    <row r="185" spans="2:30" s="262" customFormat="1" ht="16.5" customHeight="1">
      <c r="B185" s="260"/>
      <c r="C185" s="261"/>
      <c r="D185" s="261"/>
      <c r="E185" s="261"/>
      <c r="F185" s="261"/>
      <c r="G185" s="318" t="str">
        <f>G3</f>
        <v xml:space="preserve"> ประจำปีงบประมาณ 2562</v>
      </c>
      <c r="H185" s="318"/>
      <c r="I185" s="318"/>
      <c r="J185" s="319"/>
      <c r="L185" s="260"/>
      <c r="M185" s="261"/>
      <c r="N185" s="261"/>
      <c r="O185" s="261"/>
      <c r="P185" s="261"/>
      <c r="Q185" s="318" t="str">
        <f>G3</f>
        <v xml:space="preserve"> ประจำปีงบประมาณ 2562</v>
      </c>
      <c r="R185" s="318"/>
      <c r="S185" s="318"/>
      <c r="T185" s="319"/>
      <c r="U185" s="265"/>
      <c r="V185" s="266"/>
      <c r="W185" s="266"/>
      <c r="X185" s="266"/>
      <c r="Y185" s="266"/>
      <c r="Z185" s="265"/>
      <c r="AA185" s="265"/>
      <c r="AB185" s="265"/>
      <c r="AC185" s="265"/>
      <c r="AD185" s="265"/>
    </row>
    <row r="186" spans="2:30" ht="6" customHeight="1">
      <c r="B186" s="27"/>
      <c r="C186" s="26"/>
      <c r="D186" s="26"/>
      <c r="E186" s="26"/>
      <c r="F186" s="26"/>
      <c r="G186" s="320" t="str">
        <f>ข้อมูลทำเนียบ!B32</f>
        <v>ร.ต.อ.ธนากร  ภูขาว/โบ้</v>
      </c>
      <c r="H186" s="320"/>
      <c r="I186" s="320"/>
      <c r="J186" s="321"/>
      <c r="L186" s="27"/>
      <c r="M186" s="26"/>
      <c r="N186" s="26"/>
      <c r="O186" s="26"/>
      <c r="P186" s="26"/>
      <c r="Q186" s="320" t="str">
        <f>ข้อมูลทำเนียบ!B33</f>
        <v>ร.ต.อ.วงศ์วริศ  ธรรมโกลัง/เปา</v>
      </c>
      <c r="R186" s="320"/>
      <c r="S186" s="320"/>
      <c r="T186" s="321"/>
      <c r="V186" s="124"/>
      <c r="W186" s="47"/>
      <c r="X186" s="125"/>
      <c r="Y186" s="125"/>
    </row>
    <row r="187" spans="2:30" ht="12" customHeight="1">
      <c r="B187" s="27"/>
      <c r="C187" s="26"/>
      <c r="D187" s="25">
        <v>1</v>
      </c>
      <c r="E187" s="26"/>
      <c r="F187" s="26"/>
      <c r="G187" s="320"/>
      <c r="H187" s="320"/>
      <c r="I187" s="320"/>
      <c r="J187" s="321"/>
      <c r="L187" s="27"/>
      <c r="M187" s="26"/>
      <c r="N187" s="25">
        <v>1</v>
      </c>
      <c r="O187" s="26"/>
      <c r="P187" s="26"/>
      <c r="Q187" s="320"/>
      <c r="R187" s="320"/>
      <c r="S187" s="320"/>
      <c r="T187" s="321"/>
      <c r="V187" s="124"/>
      <c r="W187" s="47"/>
      <c r="X187" s="125"/>
      <c r="Y187" s="125"/>
    </row>
    <row r="188" spans="2:30" ht="12" customHeight="1">
      <c r="B188" s="24"/>
      <c r="C188" s="23"/>
      <c r="D188" s="322">
        <v>29</v>
      </c>
      <c r="E188" s="23"/>
      <c r="F188" s="23"/>
      <c r="G188" s="320"/>
      <c r="H188" s="320"/>
      <c r="I188" s="320"/>
      <c r="J188" s="321"/>
      <c r="L188" s="24"/>
      <c r="M188" s="23"/>
      <c r="N188" s="322">
        <v>30</v>
      </c>
      <c r="O188" s="23"/>
      <c r="P188" s="23"/>
      <c r="Q188" s="320"/>
      <c r="R188" s="320"/>
      <c r="S188" s="320"/>
      <c r="T188" s="321"/>
      <c r="V188" s="124"/>
      <c r="W188" s="47"/>
      <c r="X188" s="125"/>
      <c r="Y188" s="125"/>
    </row>
    <row r="189" spans="2:30" ht="12" customHeight="1">
      <c r="B189" s="24"/>
      <c r="C189" s="23"/>
      <c r="D189" s="323"/>
      <c r="E189" s="23"/>
      <c r="F189" s="23"/>
      <c r="G189" s="320"/>
      <c r="H189" s="320"/>
      <c r="I189" s="320"/>
      <c r="J189" s="321"/>
      <c r="L189" s="24"/>
      <c r="M189" s="23"/>
      <c r="N189" s="323"/>
      <c r="O189" s="23"/>
      <c r="P189" s="23"/>
      <c r="Q189" s="320"/>
      <c r="R189" s="320"/>
      <c r="S189" s="320"/>
      <c r="T189" s="321"/>
      <c r="V189" s="124"/>
      <c r="W189" s="47"/>
      <c r="X189" s="125"/>
      <c r="Y189" s="125"/>
    </row>
    <row r="190" spans="2:30" ht="12" customHeight="1">
      <c r="B190" s="24"/>
      <c r="C190" s="23"/>
      <c r="D190" s="25"/>
      <c r="E190" s="23"/>
      <c r="F190" s="23"/>
      <c r="G190" s="320"/>
      <c r="H190" s="320"/>
      <c r="I190" s="320"/>
      <c r="J190" s="321"/>
      <c r="L190" s="24"/>
      <c r="M190" s="23"/>
      <c r="N190" s="25"/>
      <c r="O190" s="23"/>
      <c r="P190" s="23"/>
      <c r="Q190" s="320"/>
      <c r="R190" s="320"/>
      <c r="S190" s="320"/>
      <c r="T190" s="321"/>
      <c r="V190" s="124"/>
      <c r="W190" s="47"/>
      <c r="X190" s="125"/>
      <c r="Y190" s="125"/>
    </row>
    <row r="191" spans="2:30" ht="6" customHeight="1">
      <c r="B191" s="24"/>
      <c r="C191" s="23"/>
      <c r="D191" s="23"/>
      <c r="E191" s="23"/>
      <c r="F191" s="23"/>
      <c r="G191" s="324" t="str">
        <f>ข้อมูลทำเนียบ!C32</f>
        <v>รอง สวป.สภ.กุมภวาปี ปรก.สภ.เมืองอุดรธานี</v>
      </c>
      <c r="H191" s="324"/>
      <c r="I191" s="324"/>
      <c r="J191" s="325"/>
      <c r="L191" s="24"/>
      <c r="M191" s="23"/>
      <c r="N191" s="23"/>
      <c r="O191" s="23"/>
      <c r="P191" s="23"/>
      <c r="Q191" s="324" t="str">
        <f>ข้อมูลทำเนียบ!C33</f>
        <v>รอง สวป.สภ.นายูง ปรก.สภ.เมืองอุดรธานี</v>
      </c>
      <c r="R191" s="324"/>
      <c r="S191" s="324"/>
      <c r="T191" s="325"/>
      <c r="V191" s="124"/>
      <c r="W191" s="47"/>
      <c r="X191" s="125"/>
      <c r="Y191" s="125"/>
    </row>
    <row r="192" spans="2:30" ht="12" customHeight="1">
      <c r="B192" s="14"/>
      <c r="C192" s="22"/>
      <c r="D192" s="328" t="str">
        <f>ข้อมูลทำเนียบ!L32</f>
        <v>Rh.B</v>
      </c>
      <c r="E192" s="22"/>
      <c r="F192" s="22"/>
      <c r="G192" s="324"/>
      <c r="H192" s="324"/>
      <c r="I192" s="324"/>
      <c r="J192" s="325"/>
      <c r="L192" s="14"/>
      <c r="M192" s="22"/>
      <c r="N192" s="328" t="str">
        <f>ข้อมูลทำเนียบ!L33</f>
        <v>Rh.A</v>
      </c>
      <c r="O192" s="22"/>
      <c r="P192" s="22"/>
      <c r="Q192" s="324"/>
      <c r="R192" s="324"/>
      <c r="S192" s="324"/>
      <c r="T192" s="325"/>
      <c r="V192" s="125"/>
      <c r="W192" s="125"/>
      <c r="X192" s="125"/>
      <c r="Y192" s="125"/>
    </row>
    <row r="193" spans="2:30" ht="12" customHeight="1">
      <c r="B193" s="21"/>
      <c r="C193" s="20"/>
      <c r="D193" s="329"/>
      <c r="E193" s="20"/>
      <c r="F193" s="20"/>
      <c r="G193" s="324"/>
      <c r="H193" s="324"/>
      <c r="I193" s="324"/>
      <c r="J193" s="325"/>
      <c r="L193" s="21"/>
      <c r="M193" s="20"/>
      <c r="N193" s="329"/>
      <c r="O193" s="20"/>
      <c r="P193" s="20"/>
      <c r="Q193" s="324"/>
      <c r="R193" s="324"/>
      <c r="S193" s="324"/>
      <c r="T193" s="325"/>
      <c r="V193" s="125"/>
      <c r="W193" s="125"/>
      <c r="X193" s="125"/>
      <c r="Y193" s="125"/>
    </row>
    <row r="194" spans="2:30" ht="12" customHeight="1">
      <c r="B194" s="21"/>
      <c r="C194" s="20"/>
      <c r="D194" s="330"/>
      <c r="E194" s="20"/>
      <c r="F194" s="20"/>
      <c r="G194" s="324"/>
      <c r="H194" s="324"/>
      <c r="I194" s="324"/>
      <c r="J194" s="325"/>
      <c r="L194" s="21"/>
      <c r="M194" s="20"/>
      <c r="N194" s="330"/>
      <c r="O194" s="20"/>
      <c r="P194" s="20"/>
      <c r="Q194" s="324"/>
      <c r="R194" s="324"/>
      <c r="S194" s="324"/>
      <c r="T194" s="325"/>
      <c r="V194" s="125"/>
      <c r="W194" s="125"/>
      <c r="X194" s="125"/>
      <c r="Y194" s="125"/>
    </row>
    <row r="195" spans="2:30" ht="6" customHeight="1" thickBot="1">
      <c r="B195" s="19"/>
      <c r="C195" s="18"/>
      <c r="D195" s="18"/>
      <c r="E195" s="18"/>
      <c r="F195" s="18"/>
      <c r="G195" s="326"/>
      <c r="H195" s="326"/>
      <c r="I195" s="326"/>
      <c r="J195" s="327"/>
      <c r="L195" s="19"/>
      <c r="M195" s="18"/>
      <c r="N195" s="18"/>
      <c r="O195" s="18"/>
      <c r="P195" s="18"/>
      <c r="Q195" s="326"/>
      <c r="R195" s="326"/>
      <c r="S195" s="326"/>
      <c r="T195" s="327"/>
      <c r="V195" s="125"/>
      <c r="W195" s="125"/>
      <c r="X195" s="125"/>
      <c r="Y195" s="125"/>
    </row>
    <row r="196" spans="2:30" s="259" customFormat="1" ht="39" thickTop="1">
      <c r="B196" s="257"/>
      <c r="C196" s="258"/>
      <c r="D196" s="258"/>
      <c r="E196" s="258"/>
      <c r="F196" s="258"/>
      <c r="G196" s="316" t="str">
        <f>G2</f>
        <v>ปรับพื้นฐานยุทธวิธีตำรวจระดับครูฝึก(สัญญาบัตร) รุ่นที่2</v>
      </c>
      <c r="H196" s="316"/>
      <c r="I196" s="316"/>
      <c r="J196" s="317"/>
      <c r="L196" s="257"/>
      <c r="M196" s="258"/>
      <c r="N196" s="258"/>
      <c r="O196" s="258"/>
      <c r="P196" s="258"/>
      <c r="Q196" s="316" t="str">
        <f>G2</f>
        <v>ปรับพื้นฐานยุทธวิธีตำรวจระดับครูฝึก(สัญญาบัตร) รุ่นที่2</v>
      </c>
      <c r="R196" s="316"/>
      <c r="S196" s="316"/>
      <c r="T196" s="317"/>
      <c r="U196" s="264"/>
      <c r="V196" s="264"/>
      <c r="W196" s="264"/>
      <c r="X196" s="264"/>
      <c r="Y196" s="264"/>
      <c r="Z196" s="264"/>
      <c r="AA196" s="264"/>
      <c r="AB196" s="264"/>
      <c r="AC196" s="264"/>
      <c r="AD196" s="264"/>
    </row>
    <row r="197" spans="2:30" s="262" customFormat="1" ht="16.5" customHeight="1">
      <c r="B197" s="260"/>
      <c r="C197" s="261"/>
      <c r="D197" s="261"/>
      <c r="E197" s="261"/>
      <c r="F197" s="261"/>
      <c r="G197" s="318" t="str">
        <f>G3</f>
        <v xml:space="preserve"> ประจำปีงบประมาณ 2562</v>
      </c>
      <c r="H197" s="318"/>
      <c r="I197" s="318"/>
      <c r="J197" s="319"/>
      <c r="L197" s="260"/>
      <c r="M197" s="261"/>
      <c r="N197" s="261"/>
      <c r="O197" s="261"/>
      <c r="P197" s="261"/>
      <c r="Q197" s="318" t="str">
        <f>G3</f>
        <v xml:space="preserve"> ประจำปีงบประมาณ 2562</v>
      </c>
      <c r="R197" s="318"/>
      <c r="S197" s="318"/>
      <c r="T197" s="319"/>
      <c r="U197" s="265"/>
      <c r="V197" s="266"/>
      <c r="W197" s="266"/>
      <c r="X197" s="266"/>
      <c r="Y197" s="266"/>
      <c r="Z197" s="265"/>
      <c r="AA197" s="265"/>
      <c r="AB197" s="265"/>
      <c r="AC197" s="265"/>
      <c r="AD197" s="265"/>
    </row>
    <row r="198" spans="2:30" ht="6" customHeight="1">
      <c r="B198" s="27"/>
      <c r="C198" s="26"/>
      <c r="D198" s="26"/>
      <c r="E198" s="26"/>
      <c r="F198" s="26"/>
      <c r="G198" s="320" t="str">
        <f>ข้อมูลทำเนียบ!B34</f>
        <v>พ.ต.ท.รุ่ง  เทียนอยู่</v>
      </c>
      <c r="H198" s="320"/>
      <c r="I198" s="320"/>
      <c r="J198" s="321"/>
      <c r="L198" s="27"/>
      <c r="M198" s="26"/>
      <c r="N198" s="26"/>
      <c r="O198" s="26"/>
      <c r="P198" s="26"/>
      <c r="Q198" s="320" t="str">
        <f>ข้อมูลทำเนียบ!B35</f>
        <v>พ.ต.ท.บุญนพ  คำมูล/นพ</v>
      </c>
      <c r="R198" s="320"/>
      <c r="S198" s="320"/>
      <c r="T198" s="321"/>
      <c r="V198" s="124"/>
      <c r="W198" s="47"/>
      <c r="X198" s="125"/>
      <c r="Y198" s="125"/>
    </row>
    <row r="199" spans="2:30" ht="12" customHeight="1">
      <c r="B199" s="27"/>
      <c r="C199" s="26"/>
      <c r="D199" s="25">
        <v>1</v>
      </c>
      <c r="E199" s="26"/>
      <c r="F199" s="26"/>
      <c r="G199" s="320"/>
      <c r="H199" s="320"/>
      <c r="I199" s="320"/>
      <c r="J199" s="321"/>
      <c r="L199" s="27"/>
      <c r="M199" s="26"/>
      <c r="N199" s="25">
        <v>1</v>
      </c>
      <c r="O199" s="26"/>
      <c r="P199" s="26"/>
      <c r="Q199" s="320"/>
      <c r="R199" s="320"/>
      <c r="S199" s="320"/>
      <c r="T199" s="321"/>
      <c r="V199" s="124"/>
      <c r="W199" s="47"/>
      <c r="X199" s="125"/>
      <c r="Y199" s="125"/>
    </row>
    <row r="200" spans="2:30" ht="12" customHeight="1">
      <c r="B200" s="24"/>
      <c r="C200" s="23"/>
      <c r="D200" s="322">
        <v>31</v>
      </c>
      <c r="E200" s="23"/>
      <c r="F200" s="23"/>
      <c r="G200" s="320"/>
      <c r="H200" s="320"/>
      <c r="I200" s="320"/>
      <c r="J200" s="321"/>
      <c r="L200" s="24"/>
      <c r="M200" s="23"/>
      <c r="N200" s="322">
        <v>32</v>
      </c>
      <c r="O200" s="23"/>
      <c r="P200" s="23"/>
      <c r="Q200" s="320"/>
      <c r="R200" s="320"/>
      <c r="S200" s="320"/>
      <c r="T200" s="321"/>
      <c r="V200" s="124"/>
      <c r="W200" s="47"/>
      <c r="X200" s="125"/>
      <c r="Y200" s="125"/>
    </row>
    <row r="201" spans="2:30" ht="12" customHeight="1">
      <c r="B201" s="24"/>
      <c r="C201" s="23"/>
      <c r="D201" s="323"/>
      <c r="E201" s="23"/>
      <c r="F201" s="23"/>
      <c r="G201" s="320"/>
      <c r="H201" s="320"/>
      <c r="I201" s="320"/>
      <c r="J201" s="321"/>
      <c r="L201" s="24"/>
      <c r="M201" s="23"/>
      <c r="N201" s="323"/>
      <c r="O201" s="23"/>
      <c r="P201" s="23"/>
      <c r="Q201" s="320"/>
      <c r="R201" s="320"/>
      <c r="S201" s="320"/>
      <c r="T201" s="321"/>
      <c r="V201" s="124"/>
      <c r="W201" s="47"/>
      <c r="X201" s="125"/>
      <c r="Y201" s="125"/>
    </row>
    <row r="202" spans="2:30" ht="12" customHeight="1">
      <c r="B202" s="24"/>
      <c r="C202" s="23"/>
      <c r="D202" s="25"/>
      <c r="E202" s="23"/>
      <c r="F202" s="23"/>
      <c r="G202" s="320"/>
      <c r="H202" s="320"/>
      <c r="I202" s="320"/>
      <c r="J202" s="321"/>
      <c r="L202" s="24"/>
      <c r="M202" s="23"/>
      <c r="N202" s="25"/>
      <c r="O202" s="23"/>
      <c r="P202" s="23"/>
      <c r="Q202" s="320"/>
      <c r="R202" s="320"/>
      <c r="S202" s="320"/>
      <c r="T202" s="321"/>
      <c r="V202" s="124"/>
      <c r="W202" s="47"/>
      <c r="X202" s="125"/>
      <c r="Y202" s="125"/>
    </row>
    <row r="203" spans="2:30" ht="6" customHeight="1">
      <c r="B203" s="24"/>
      <c r="C203" s="23"/>
      <c r="D203" s="23"/>
      <c r="E203" s="23"/>
      <c r="F203" s="23"/>
      <c r="G203" s="320"/>
      <c r="H203" s="320"/>
      <c r="I203" s="320"/>
      <c r="J203" s="321"/>
      <c r="L203" s="24"/>
      <c r="M203" s="23"/>
      <c r="N203" s="23"/>
      <c r="O203" s="23"/>
      <c r="P203" s="23"/>
      <c r="Q203" s="320"/>
      <c r="R203" s="320"/>
      <c r="S203" s="320"/>
      <c r="T203" s="321"/>
      <c r="V203" s="124"/>
      <c r="W203" s="47"/>
      <c r="X203" s="125"/>
      <c r="Y203" s="125"/>
    </row>
    <row r="204" spans="2:30" ht="6" customHeight="1">
      <c r="B204" s="24"/>
      <c r="C204" s="23"/>
      <c r="D204" s="23"/>
      <c r="E204" s="23"/>
      <c r="F204" s="23"/>
      <c r="G204" s="324" t="str">
        <f>ข้อมูลทำเนียบ!C34</f>
        <v>สวป.สภ.คลองขลุง ภ.จว.กำแพงเพชร</v>
      </c>
      <c r="H204" s="324"/>
      <c r="I204" s="324"/>
      <c r="J204" s="325"/>
      <c r="L204" s="24"/>
      <c r="M204" s="23"/>
      <c r="N204" s="23"/>
      <c r="O204" s="23"/>
      <c r="P204" s="23"/>
      <c r="Q204" s="324" t="str">
        <f>ข้อมูลทำเนียบ!C35</f>
        <v>สวป.สภ.ไทรงาม ภ.จว.กำแพงเพชร</v>
      </c>
      <c r="R204" s="324"/>
      <c r="S204" s="324"/>
      <c r="T204" s="325"/>
      <c r="V204" s="124"/>
      <c r="W204" s="47"/>
      <c r="X204" s="125"/>
      <c r="Y204" s="125"/>
    </row>
    <row r="205" spans="2:30" ht="12" customHeight="1">
      <c r="B205" s="14"/>
      <c r="C205" s="22"/>
      <c r="D205" s="328" t="str">
        <f>ข้อมูลทำเนียบ!L34</f>
        <v>Rh.O</v>
      </c>
      <c r="E205" s="22"/>
      <c r="F205" s="22"/>
      <c r="G205" s="324"/>
      <c r="H205" s="324"/>
      <c r="I205" s="324"/>
      <c r="J205" s="325"/>
      <c r="L205" s="14"/>
      <c r="M205" s="22"/>
      <c r="N205" s="328" t="str">
        <f>ข้อมูลทำเนียบ!L35</f>
        <v>Rh.O</v>
      </c>
      <c r="O205" s="22"/>
      <c r="P205" s="22"/>
      <c r="Q205" s="324"/>
      <c r="R205" s="324"/>
      <c r="S205" s="324"/>
      <c r="T205" s="325"/>
      <c r="V205" s="125"/>
      <c r="W205" s="125"/>
      <c r="X205" s="125"/>
      <c r="Y205" s="125"/>
    </row>
    <row r="206" spans="2:30" ht="12" customHeight="1">
      <c r="B206" s="21"/>
      <c r="C206" s="20"/>
      <c r="D206" s="329"/>
      <c r="E206" s="20"/>
      <c r="F206" s="20"/>
      <c r="G206" s="324"/>
      <c r="H206" s="324"/>
      <c r="I206" s="324"/>
      <c r="J206" s="325"/>
      <c r="L206" s="21"/>
      <c r="M206" s="20"/>
      <c r="N206" s="329"/>
      <c r="O206" s="20"/>
      <c r="P206" s="20"/>
      <c r="Q206" s="324"/>
      <c r="R206" s="324"/>
      <c r="S206" s="324"/>
      <c r="T206" s="325"/>
      <c r="V206" s="125"/>
      <c r="W206" s="125"/>
      <c r="X206" s="125"/>
      <c r="Y206" s="125"/>
    </row>
    <row r="207" spans="2:30" ht="12" customHeight="1">
      <c r="B207" s="21"/>
      <c r="C207" s="20"/>
      <c r="D207" s="330"/>
      <c r="E207" s="20"/>
      <c r="F207" s="20"/>
      <c r="G207" s="324"/>
      <c r="H207" s="324"/>
      <c r="I207" s="324"/>
      <c r="J207" s="325"/>
      <c r="L207" s="21"/>
      <c r="M207" s="20"/>
      <c r="N207" s="330"/>
      <c r="O207" s="20"/>
      <c r="P207" s="20"/>
      <c r="Q207" s="324"/>
      <c r="R207" s="324"/>
      <c r="S207" s="324"/>
      <c r="T207" s="325"/>
      <c r="V207" s="125"/>
      <c r="W207" s="125"/>
      <c r="X207" s="125"/>
      <c r="Y207" s="125"/>
    </row>
    <row r="208" spans="2:30" ht="6" customHeight="1" thickBot="1">
      <c r="B208" s="19"/>
      <c r="C208" s="18"/>
      <c r="D208" s="18"/>
      <c r="E208" s="18"/>
      <c r="F208" s="18"/>
      <c r="G208" s="326"/>
      <c r="H208" s="326"/>
      <c r="I208" s="326"/>
      <c r="J208" s="327"/>
      <c r="L208" s="19"/>
      <c r="M208" s="18"/>
      <c r="N208" s="18"/>
      <c r="O208" s="18"/>
      <c r="P208" s="18"/>
      <c r="Q208" s="326"/>
      <c r="R208" s="326"/>
      <c r="S208" s="326"/>
      <c r="T208" s="327"/>
      <c r="V208" s="125"/>
      <c r="W208" s="125"/>
      <c r="X208" s="125"/>
      <c r="Y208" s="125"/>
    </row>
    <row r="209" spans="2:30" ht="3" customHeight="1" thickTop="1" thickBot="1"/>
    <row r="210" spans="2:30" s="259" customFormat="1" ht="39" thickTop="1">
      <c r="B210" s="257"/>
      <c r="C210" s="258"/>
      <c r="D210" s="258"/>
      <c r="E210" s="258"/>
      <c r="F210" s="258"/>
      <c r="G210" s="316" t="str">
        <f>G2</f>
        <v>ปรับพื้นฐานยุทธวิธีตำรวจระดับครูฝึก(สัญญาบัตร) รุ่นที่2</v>
      </c>
      <c r="H210" s="316"/>
      <c r="I210" s="316"/>
      <c r="J210" s="317"/>
      <c r="L210" s="257"/>
      <c r="M210" s="258"/>
      <c r="N210" s="258"/>
      <c r="O210" s="258"/>
      <c r="P210" s="258"/>
      <c r="Q210" s="316" t="str">
        <f>G2</f>
        <v>ปรับพื้นฐานยุทธวิธีตำรวจระดับครูฝึก(สัญญาบัตร) รุ่นที่2</v>
      </c>
      <c r="R210" s="316"/>
      <c r="S210" s="316"/>
      <c r="T210" s="317"/>
      <c r="U210" s="264"/>
      <c r="V210" s="264"/>
      <c r="W210" s="264"/>
      <c r="X210" s="264"/>
      <c r="Y210" s="264"/>
      <c r="Z210" s="264"/>
      <c r="AA210" s="264"/>
      <c r="AB210" s="264"/>
      <c r="AC210" s="264"/>
      <c r="AD210" s="264"/>
    </row>
    <row r="211" spans="2:30" s="262" customFormat="1" ht="16.5" customHeight="1">
      <c r="B211" s="260"/>
      <c r="C211" s="261"/>
      <c r="D211" s="261"/>
      <c r="E211" s="261"/>
      <c r="F211" s="261"/>
      <c r="G211" s="318" t="str">
        <f>G3</f>
        <v xml:space="preserve"> ประจำปีงบประมาณ 2562</v>
      </c>
      <c r="H211" s="318"/>
      <c r="I211" s="318"/>
      <c r="J211" s="319"/>
      <c r="L211" s="260"/>
      <c r="M211" s="261"/>
      <c r="N211" s="261"/>
      <c r="O211" s="261"/>
      <c r="P211" s="261"/>
      <c r="Q211" s="318" t="str">
        <f>G3</f>
        <v xml:space="preserve"> ประจำปีงบประมาณ 2562</v>
      </c>
      <c r="R211" s="318"/>
      <c r="S211" s="318"/>
      <c r="T211" s="319"/>
      <c r="U211" s="265"/>
      <c r="V211" s="266"/>
      <c r="W211" s="266"/>
      <c r="X211" s="266"/>
      <c r="Y211" s="266"/>
      <c r="Z211" s="265"/>
      <c r="AA211" s="265"/>
      <c r="AB211" s="265"/>
      <c r="AC211" s="265"/>
      <c r="AD211" s="265"/>
    </row>
    <row r="212" spans="2:30" ht="6" customHeight="1">
      <c r="B212" s="27"/>
      <c r="C212" s="26"/>
      <c r="D212" s="26"/>
      <c r="E212" s="26"/>
      <c r="F212" s="26"/>
      <c r="G212" s="320" t="str">
        <f>ข้อมูลทำเนียบ!B36</f>
        <v>ร.ต.อ.วีรพงศ์  สีลินลี/วี</v>
      </c>
      <c r="H212" s="320"/>
      <c r="I212" s="320"/>
      <c r="J212" s="321"/>
      <c r="L212" s="27"/>
      <c r="M212" s="26"/>
      <c r="N212" s="26"/>
      <c r="O212" s="26"/>
      <c r="P212" s="26"/>
      <c r="Q212" s="320" t="str">
        <f>ข้อมูลทำเนียบ!B37</f>
        <v>ร.ต.อ.ชาคลีรัตน์  ปาสร้อย/โอโต๋</v>
      </c>
      <c r="R212" s="320"/>
      <c r="S212" s="320"/>
      <c r="T212" s="321"/>
      <c r="V212" s="124"/>
      <c r="W212" s="47"/>
      <c r="X212" s="125"/>
      <c r="Y212" s="125"/>
    </row>
    <row r="213" spans="2:30" ht="12" customHeight="1">
      <c r="B213" s="27"/>
      <c r="C213" s="26"/>
      <c r="D213" s="25">
        <v>1</v>
      </c>
      <c r="E213" s="26"/>
      <c r="F213" s="26"/>
      <c r="G213" s="320"/>
      <c r="H213" s="320"/>
      <c r="I213" s="320"/>
      <c r="J213" s="321"/>
      <c r="L213" s="27"/>
      <c r="M213" s="26"/>
      <c r="N213" s="25">
        <v>1</v>
      </c>
      <c r="O213" s="26"/>
      <c r="P213" s="26"/>
      <c r="Q213" s="320"/>
      <c r="R213" s="320"/>
      <c r="S213" s="320"/>
      <c r="T213" s="321"/>
      <c r="V213" s="124"/>
      <c r="W213" s="47"/>
      <c r="X213" s="125"/>
      <c r="Y213" s="125"/>
    </row>
    <row r="214" spans="2:30" ht="12" customHeight="1">
      <c r="B214" s="24"/>
      <c r="C214" s="23"/>
      <c r="D214" s="322">
        <v>33</v>
      </c>
      <c r="E214" s="23"/>
      <c r="F214" s="23"/>
      <c r="G214" s="320"/>
      <c r="H214" s="320"/>
      <c r="I214" s="320"/>
      <c r="J214" s="321"/>
      <c r="L214" s="24"/>
      <c r="M214" s="23"/>
      <c r="N214" s="322">
        <v>34</v>
      </c>
      <c r="O214" s="23"/>
      <c r="P214" s="23"/>
      <c r="Q214" s="320"/>
      <c r="R214" s="320"/>
      <c r="S214" s="320"/>
      <c r="T214" s="321"/>
      <c r="V214" s="124"/>
      <c r="W214" s="47"/>
      <c r="X214" s="125"/>
      <c r="Y214" s="125"/>
    </row>
    <row r="215" spans="2:30" ht="12" customHeight="1">
      <c r="B215" s="24"/>
      <c r="C215" s="23"/>
      <c r="D215" s="323"/>
      <c r="E215" s="23"/>
      <c r="F215" s="23"/>
      <c r="G215" s="320"/>
      <c r="H215" s="320"/>
      <c r="I215" s="320"/>
      <c r="J215" s="321"/>
      <c r="L215" s="24"/>
      <c r="M215" s="23"/>
      <c r="N215" s="323"/>
      <c r="O215" s="23"/>
      <c r="P215" s="23"/>
      <c r="Q215" s="320"/>
      <c r="R215" s="320"/>
      <c r="S215" s="320"/>
      <c r="T215" s="321"/>
      <c r="V215" s="124"/>
      <c r="W215" s="47"/>
      <c r="X215" s="125"/>
      <c r="Y215" s="125"/>
    </row>
    <row r="216" spans="2:30" ht="12" customHeight="1">
      <c r="B216" s="24"/>
      <c r="C216" s="23"/>
      <c r="D216" s="25"/>
      <c r="E216" s="23"/>
      <c r="F216" s="23"/>
      <c r="G216" s="320"/>
      <c r="H216" s="320"/>
      <c r="I216" s="320"/>
      <c r="J216" s="321"/>
      <c r="L216" s="24"/>
      <c r="M216" s="23"/>
      <c r="N216" s="25"/>
      <c r="O216" s="23"/>
      <c r="P216" s="23"/>
      <c r="Q216" s="320"/>
      <c r="R216" s="320"/>
      <c r="S216" s="320"/>
      <c r="T216" s="321"/>
      <c r="V216" s="124"/>
      <c r="W216" s="47"/>
      <c r="X216" s="125"/>
      <c r="Y216" s="125"/>
    </row>
    <row r="217" spans="2:30" ht="6" customHeight="1">
      <c r="B217" s="24"/>
      <c r="C217" s="23"/>
      <c r="D217" s="23"/>
      <c r="E217" s="23"/>
      <c r="F217" s="23"/>
      <c r="G217" s="320"/>
      <c r="H217" s="320"/>
      <c r="I217" s="320"/>
      <c r="J217" s="321"/>
      <c r="L217" s="24"/>
      <c r="M217" s="23"/>
      <c r="N217" s="23"/>
      <c r="O217" s="23"/>
      <c r="P217" s="23"/>
      <c r="Q217" s="320"/>
      <c r="R217" s="320"/>
      <c r="S217" s="320"/>
      <c r="T217" s="321"/>
      <c r="V217" s="124"/>
      <c r="W217" s="47"/>
      <c r="X217" s="125"/>
      <c r="Y217" s="125"/>
    </row>
    <row r="218" spans="2:30" ht="6" customHeight="1">
      <c r="B218" s="24"/>
      <c r="C218" s="23"/>
      <c r="D218" s="23"/>
      <c r="E218" s="23"/>
      <c r="F218" s="23"/>
      <c r="G218" s="324" t="str">
        <f>ข้อมูลทำเนียบ!C36</f>
        <v>รอง สวป.สภ.ลาดยาว ภ.จว.นครสวรรค์</v>
      </c>
      <c r="H218" s="324"/>
      <c r="I218" s="324"/>
      <c r="J218" s="325"/>
      <c r="L218" s="24"/>
      <c r="M218" s="23"/>
      <c r="N218" s="23"/>
      <c r="O218" s="23"/>
      <c r="P218" s="23"/>
      <c r="Q218" s="324" t="str">
        <f>ข้อมูลทำเนียบ!C37</f>
        <v>รอง สวป.สภ.บรรพตพิสัย ภ.จว.นครสวรรค์</v>
      </c>
      <c r="R218" s="324"/>
      <c r="S218" s="324"/>
      <c r="T218" s="325"/>
      <c r="V218" s="124"/>
      <c r="W218" s="47"/>
      <c r="X218" s="125"/>
      <c r="Y218" s="125"/>
    </row>
    <row r="219" spans="2:30" ht="12" customHeight="1">
      <c r="B219" s="14"/>
      <c r="C219" s="22"/>
      <c r="D219" s="328" t="str">
        <f>ข้อมูลทำเนียบ!L36</f>
        <v>Rh.AB</v>
      </c>
      <c r="E219" s="22"/>
      <c r="F219" s="22"/>
      <c r="G219" s="324"/>
      <c r="H219" s="324"/>
      <c r="I219" s="324"/>
      <c r="J219" s="325"/>
      <c r="L219" s="14"/>
      <c r="M219" s="22"/>
      <c r="N219" s="328" t="str">
        <f>ข้อมูลทำเนียบ!L37</f>
        <v>Rh.B</v>
      </c>
      <c r="O219" s="22"/>
      <c r="P219" s="22"/>
      <c r="Q219" s="324"/>
      <c r="R219" s="324"/>
      <c r="S219" s="324"/>
      <c r="T219" s="325"/>
      <c r="V219" s="125"/>
      <c r="W219" s="125"/>
      <c r="X219" s="125"/>
      <c r="Y219" s="125"/>
    </row>
    <row r="220" spans="2:30" ht="12" customHeight="1">
      <c r="B220" s="21"/>
      <c r="C220" s="20"/>
      <c r="D220" s="329"/>
      <c r="E220" s="20"/>
      <c r="F220" s="20"/>
      <c r="G220" s="324"/>
      <c r="H220" s="324"/>
      <c r="I220" s="324"/>
      <c r="J220" s="325"/>
      <c r="L220" s="21"/>
      <c r="M220" s="20"/>
      <c r="N220" s="329"/>
      <c r="O220" s="20"/>
      <c r="P220" s="20"/>
      <c r="Q220" s="324"/>
      <c r="R220" s="324"/>
      <c r="S220" s="324"/>
      <c r="T220" s="325"/>
      <c r="V220" s="125"/>
      <c r="W220" s="125"/>
      <c r="X220" s="125"/>
      <c r="Y220" s="125"/>
    </row>
    <row r="221" spans="2:30" ht="12" customHeight="1">
      <c r="B221" s="21"/>
      <c r="C221" s="20"/>
      <c r="D221" s="330"/>
      <c r="E221" s="20"/>
      <c r="F221" s="20"/>
      <c r="G221" s="324"/>
      <c r="H221" s="324"/>
      <c r="I221" s="324"/>
      <c r="J221" s="325"/>
      <c r="L221" s="21"/>
      <c r="M221" s="20"/>
      <c r="N221" s="330"/>
      <c r="O221" s="20"/>
      <c r="P221" s="20"/>
      <c r="Q221" s="324"/>
      <c r="R221" s="324"/>
      <c r="S221" s="324"/>
      <c r="T221" s="325"/>
      <c r="V221" s="125"/>
      <c r="W221" s="125"/>
      <c r="X221" s="125"/>
      <c r="Y221" s="125"/>
    </row>
    <row r="222" spans="2:30" ht="6" customHeight="1" thickBot="1">
      <c r="B222" s="19"/>
      <c r="C222" s="18"/>
      <c r="D222" s="18"/>
      <c r="E222" s="18"/>
      <c r="F222" s="18"/>
      <c r="G222" s="326"/>
      <c r="H222" s="326"/>
      <c r="I222" s="326"/>
      <c r="J222" s="327"/>
      <c r="L222" s="19"/>
      <c r="M222" s="18"/>
      <c r="N222" s="18"/>
      <c r="O222" s="18"/>
      <c r="P222" s="18"/>
      <c r="Q222" s="326"/>
      <c r="R222" s="326"/>
      <c r="S222" s="326"/>
      <c r="T222" s="327"/>
      <c r="V222" s="125"/>
      <c r="W222" s="125"/>
      <c r="X222" s="125"/>
      <c r="Y222" s="125"/>
    </row>
    <row r="223" spans="2:30" ht="3" customHeight="1" thickTop="1" thickBot="1"/>
    <row r="224" spans="2:30" s="259" customFormat="1" ht="39" thickTop="1">
      <c r="B224" s="257"/>
      <c r="C224" s="258"/>
      <c r="D224" s="258"/>
      <c r="E224" s="258"/>
      <c r="F224" s="258"/>
      <c r="G224" s="316" t="str">
        <f>G2</f>
        <v>ปรับพื้นฐานยุทธวิธีตำรวจระดับครูฝึก(สัญญาบัตร) รุ่นที่2</v>
      </c>
      <c r="H224" s="316"/>
      <c r="I224" s="316"/>
      <c r="J224" s="317"/>
      <c r="L224" s="257"/>
      <c r="M224" s="258"/>
      <c r="N224" s="258"/>
      <c r="O224" s="258"/>
      <c r="P224" s="258"/>
      <c r="Q224" s="316" t="str">
        <f>G2</f>
        <v>ปรับพื้นฐานยุทธวิธีตำรวจระดับครูฝึก(สัญญาบัตร) รุ่นที่2</v>
      </c>
      <c r="R224" s="316"/>
      <c r="S224" s="316"/>
      <c r="T224" s="317"/>
      <c r="U224" s="264"/>
      <c r="V224" s="264"/>
      <c r="W224" s="264"/>
      <c r="X224" s="264"/>
      <c r="Y224" s="264"/>
      <c r="Z224" s="264"/>
      <c r="AA224" s="264"/>
      <c r="AB224" s="264"/>
      <c r="AC224" s="264"/>
      <c r="AD224" s="264"/>
    </row>
    <row r="225" spans="2:30" s="262" customFormat="1" ht="16.5" customHeight="1">
      <c r="B225" s="260"/>
      <c r="C225" s="261"/>
      <c r="D225" s="261"/>
      <c r="E225" s="261"/>
      <c r="F225" s="261"/>
      <c r="G225" s="318" t="str">
        <f>G3</f>
        <v xml:space="preserve"> ประจำปีงบประมาณ 2562</v>
      </c>
      <c r="H225" s="318"/>
      <c r="I225" s="318"/>
      <c r="J225" s="319"/>
      <c r="L225" s="260"/>
      <c r="M225" s="261"/>
      <c r="N225" s="261"/>
      <c r="O225" s="261"/>
      <c r="P225" s="261"/>
      <c r="Q225" s="318" t="str">
        <f>G3</f>
        <v xml:space="preserve"> ประจำปีงบประมาณ 2562</v>
      </c>
      <c r="R225" s="318"/>
      <c r="S225" s="318"/>
      <c r="T225" s="319"/>
      <c r="U225" s="265"/>
      <c r="V225" s="266"/>
      <c r="W225" s="266"/>
      <c r="X225" s="266"/>
      <c r="Y225" s="266"/>
      <c r="Z225" s="265"/>
      <c r="AA225" s="265"/>
      <c r="AB225" s="265"/>
      <c r="AC225" s="265"/>
      <c r="AD225" s="265"/>
    </row>
    <row r="226" spans="2:30" ht="6" customHeight="1">
      <c r="B226" s="27"/>
      <c r="C226" s="26"/>
      <c r="D226" s="26"/>
      <c r="E226" s="26"/>
      <c r="F226" s="26"/>
      <c r="G226" s="320" t="str">
        <f>ข้อมูลทำเนียบ!B38</f>
        <v>ร.ต.อ.อนุกุล  จันทร์นุช/นุ</v>
      </c>
      <c r="H226" s="320"/>
      <c r="I226" s="320"/>
      <c r="J226" s="321"/>
      <c r="L226" s="27"/>
      <c r="M226" s="26"/>
      <c r="N226" s="26"/>
      <c r="O226" s="26"/>
      <c r="P226" s="26"/>
      <c r="Q226" s="320" t="str">
        <f>ข้อมูลทำเนียบ!B39</f>
        <v>ร.ต.อ.อุทัย  รอดอยู่/ทัย</v>
      </c>
      <c r="R226" s="320"/>
      <c r="S226" s="320"/>
      <c r="T226" s="321"/>
      <c r="V226" s="124"/>
      <c r="W226" s="47"/>
      <c r="X226" s="125"/>
      <c r="Y226" s="125"/>
    </row>
    <row r="227" spans="2:30" ht="12" customHeight="1">
      <c r="B227" s="27"/>
      <c r="C227" s="26"/>
      <c r="D227" s="25">
        <v>1</v>
      </c>
      <c r="E227" s="26"/>
      <c r="F227" s="26"/>
      <c r="G227" s="320"/>
      <c r="H227" s="320"/>
      <c r="I227" s="320"/>
      <c r="J227" s="321"/>
      <c r="L227" s="27"/>
      <c r="M227" s="26"/>
      <c r="N227" s="25">
        <v>1</v>
      </c>
      <c r="O227" s="26"/>
      <c r="P227" s="26"/>
      <c r="Q227" s="320"/>
      <c r="R227" s="320"/>
      <c r="S227" s="320"/>
      <c r="T227" s="321"/>
      <c r="V227" s="124"/>
      <c r="W227" s="47"/>
      <c r="X227" s="125"/>
      <c r="Y227" s="125"/>
    </row>
    <row r="228" spans="2:30" ht="12" customHeight="1">
      <c r="B228" s="24"/>
      <c r="C228" s="23"/>
      <c r="D228" s="322">
        <v>35</v>
      </c>
      <c r="E228" s="23"/>
      <c r="F228" s="23"/>
      <c r="G228" s="320"/>
      <c r="H228" s="320"/>
      <c r="I228" s="320"/>
      <c r="J228" s="321"/>
      <c r="L228" s="24"/>
      <c r="M228" s="23"/>
      <c r="N228" s="322">
        <v>36</v>
      </c>
      <c r="O228" s="23"/>
      <c r="P228" s="23"/>
      <c r="Q228" s="320"/>
      <c r="R228" s="320"/>
      <c r="S228" s="320"/>
      <c r="T228" s="321"/>
      <c r="V228" s="124"/>
      <c r="W228" s="47"/>
      <c r="X228" s="125"/>
      <c r="Y228" s="125"/>
    </row>
    <row r="229" spans="2:30" ht="12" customHeight="1">
      <c r="B229" s="24"/>
      <c r="C229" s="23"/>
      <c r="D229" s="323"/>
      <c r="E229" s="23"/>
      <c r="F229" s="23"/>
      <c r="G229" s="320"/>
      <c r="H229" s="320"/>
      <c r="I229" s="320"/>
      <c r="J229" s="321"/>
      <c r="L229" s="24"/>
      <c r="M229" s="23"/>
      <c r="N229" s="323"/>
      <c r="O229" s="23"/>
      <c r="P229" s="23"/>
      <c r="Q229" s="320"/>
      <c r="R229" s="320"/>
      <c r="S229" s="320"/>
      <c r="T229" s="321"/>
      <c r="V229" s="124"/>
      <c r="W229" s="47"/>
      <c r="X229" s="125"/>
      <c r="Y229" s="125"/>
    </row>
    <row r="230" spans="2:30" ht="12" customHeight="1">
      <c r="B230" s="24"/>
      <c r="C230" s="23"/>
      <c r="D230" s="25"/>
      <c r="E230" s="23"/>
      <c r="F230" s="23"/>
      <c r="G230" s="320"/>
      <c r="H230" s="320"/>
      <c r="I230" s="320"/>
      <c r="J230" s="321"/>
      <c r="L230" s="24"/>
      <c r="M230" s="23"/>
      <c r="N230" s="25"/>
      <c r="O230" s="23"/>
      <c r="P230" s="23"/>
      <c r="Q230" s="320"/>
      <c r="R230" s="320"/>
      <c r="S230" s="320"/>
      <c r="T230" s="321"/>
      <c r="V230" s="124"/>
      <c r="W230" s="47"/>
      <c r="X230" s="125"/>
      <c r="Y230" s="125"/>
    </row>
    <row r="231" spans="2:30" ht="6" customHeight="1">
      <c r="B231" s="24"/>
      <c r="C231" s="23"/>
      <c r="D231" s="23"/>
      <c r="E231" s="23"/>
      <c r="F231" s="23"/>
      <c r="G231" s="320"/>
      <c r="H231" s="320"/>
      <c r="I231" s="320"/>
      <c r="J231" s="321"/>
      <c r="L231" s="24"/>
      <c r="M231" s="23"/>
      <c r="N231" s="23"/>
      <c r="O231" s="23"/>
      <c r="P231" s="23"/>
      <c r="Q231" s="320"/>
      <c r="R231" s="320"/>
      <c r="S231" s="320"/>
      <c r="T231" s="321"/>
      <c r="V231" s="124"/>
      <c r="W231" s="47"/>
      <c r="X231" s="125"/>
      <c r="Y231" s="125"/>
    </row>
    <row r="232" spans="2:30" ht="6" customHeight="1">
      <c r="B232" s="24"/>
      <c r="C232" s="23"/>
      <c r="D232" s="23"/>
      <c r="E232" s="23"/>
      <c r="F232" s="23"/>
      <c r="G232" s="324" t="str">
        <f>ข้อมูลทำเนียบ!C38</f>
        <v>รอง สวป.สภ.บางมูลนาก ภ.จว.พิจิตร</v>
      </c>
      <c r="H232" s="324"/>
      <c r="I232" s="324"/>
      <c r="J232" s="325"/>
      <c r="L232" s="24"/>
      <c r="M232" s="23"/>
      <c r="N232" s="23"/>
      <c r="O232" s="23"/>
      <c r="P232" s="23"/>
      <c r="Q232" s="324" t="str">
        <f>ข้อมูลทำเนียบ!C39</f>
        <v>รอง สวป.สภ.วชิรบารมี ภ.จว.พิจิตร</v>
      </c>
      <c r="R232" s="324"/>
      <c r="S232" s="324"/>
      <c r="T232" s="325"/>
      <c r="V232" s="124"/>
      <c r="W232" s="47"/>
      <c r="X232" s="125"/>
      <c r="Y232" s="125"/>
    </row>
    <row r="233" spans="2:30" ht="12" customHeight="1">
      <c r="B233" s="14"/>
      <c r="C233" s="22"/>
      <c r="D233" s="328" t="str">
        <f>ข้อมูลทำเนียบ!L38</f>
        <v>Rh.O</v>
      </c>
      <c r="E233" s="22"/>
      <c r="F233" s="22"/>
      <c r="G233" s="324"/>
      <c r="H233" s="324"/>
      <c r="I233" s="324"/>
      <c r="J233" s="325"/>
      <c r="L233" s="14"/>
      <c r="M233" s="22"/>
      <c r="N233" s="328" t="str">
        <f>ข้อมูลทำเนียบ!L39</f>
        <v>Rh.O</v>
      </c>
      <c r="O233" s="22"/>
      <c r="P233" s="22"/>
      <c r="Q233" s="324"/>
      <c r="R233" s="324"/>
      <c r="S233" s="324"/>
      <c r="T233" s="325"/>
      <c r="V233" s="125"/>
      <c r="W233" s="125"/>
      <c r="X233" s="125"/>
      <c r="Y233" s="125"/>
    </row>
    <row r="234" spans="2:30" ht="12" customHeight="1">
      <c r="B234" s="21"/>
      <c r="C234" s="20"/>
      <c r="D234" s="329"/>
      <c r="E234" s="20"/>
      <c r="F234" s="20"/>
      <c r="G234" s="324"/>
      <c r="H234" s="324"/>
      <c r="I234" s="324"/>
      <c r="J234" s="325"/>
      <c r="L234" s="21"/>
      <c r="M234" s="20"/>
      <c r="N234" s="329"/>
      <c r="O234" s="20"/>
      <c r="P234" s="20"/>
      <c r="Q234" s="324"/>
      <c r="R234" s="324"/>
      <c r="S234" s="324"/>
      <c r="T234" s="325"/>
      <c r="V234" s="125"/>
      <c r="W234" s="125"/>
      <c r="X234" s="125"/>
      <c r="Y234" s="125"/>
    </row>
    <row r="235" spans="2:30" ht="12" customHeight="1">
      <c r="B235" s="21"/>
      <c r="C235" s="20"/>
      <c r="D235" s="330"/>
      <c r="E235" s="20"/>
      <c r="F235" s="20"/>
      <c r="G235" s="324"/>
      <c r="H235" s="324"/>
      <c r="I235" s="324"/>
      <c r="J235" s="325"/>
      <c r="L235" s="21"/>
      <c r="M235" s="20"/>
      <c r="N235" s="330"/>
      <c r="O235" s="20"/>
      <c r="P235" s="20"/>
      <c r="Q235" s="324"/>
      <c r="R235" s="324"/>
      <c r="S235" s="324"/>
      <c r="T235" s="325"/>
      <c r="V235" s="125"/>
      <c r="W235" s="125"/>
      <c r="X235" s="125"/>
      <c r="Y235" s="125"/>
    </row>
    <row r="236" spans="2:30" ht="6" customHeight="1" thickBot="1">
      <c r="B236" s="19"/>
      <c r="C236" s="18"/>
      <c r="D236" s="18"/>
      <c r="E236" s="18"/>
      <c r="F236" s="18"/>
      <c r="G236" s="326"/>
      <c r="H236" s="326"/>
      <c r="I236" s="326"/>
      <c r="J236" s="327"/>
      <c r="L236" s="19"/>
      <c r="M236" s="18"/>
      <c r="N236" s="18"/>
      <c r="O236" s="18"/>
      <c r="P236" s="18"/>
      <c r="Q236" s="326"/>
      <c r="R236" s="326"/>
      <c r="S236" s="326"/>
      <c r="T236" s="327"/>
      <c r="V236" s="125"/>
      <c r="W236" s="125"/>
      <c r="X236" s="125"/>
      <c r="Y236" s="125"/>
    </row>
    <row r="237" spans="2:30" ht="3" customHeight="1" thickTop="1" thickBot="1"/>
    <row r="238" spans="2:30" s="259" customFormat="1" ht="39" thickTop="1">
      <c r="B238" s="257"/>
      <c r="C238" s="258"/>
      <c r="D238" s="258"/>
      <c r="E238" s="258"/>
      <c r="F238" s="258"/>
      <c r="G238" s="316" t="str">
        <f>G2</f>
        <v>ปรับพื้นฐานยุทธวิธีตำรวจระดับครูฝึก(สัญญาบัตร) รุ่นที่2</v>
      </c>
      <c r="H238" s="316"/>
      <c r="I238" s="316"/>
      <c r="J238" s="317"/>
      <c r="L238" s="257"/>
      <c r="M238" s="258"/>
      <c r="N238" s="258"/>
      <c r="O238" s="258"/>
      <c r="P238" s="258"/>
      <c r="Q238" s="316" t="str">
        <f>G2</f>
        <v>ปรับพื้นฐานยุทธวิธีตำรวจระดับครูฝึก(สัญญาบัตร) รุ่นที่2</v>
      </c>
      <c r="R238" s="316"/>
      <c r="S238" s="316"/>
      <c r="T238" s="317"/>
      <c r="U238" s="264"/>
      <c r="V238" s="264"/>
      <c r="W238" s="264"/>
      <c r="X238" s="264"/>
      <c r="Y238" s="264"/>
      <c r="Z238" s="264"/>
      <c r="AA238" s="264"/>
      <c r="AB238" s="264"/>
      <c r="AC238" s="264"/>
      <c r="AD238" s="264"/>
    </row>
    <row r="239" spans="2:30" s="262" customFormat="1" ht="16.5" customHeight="1">
      <c r="B239" s="260"/>
      <c r="C239" s="261"/>
      <c r="D239" s="261"/>
      <c r="E239" s="261"/>
      <c r="F239" s="261"/>
      <c r="G239" s="318" t="str">
        <f>G3</f>
        <v xml:space="preserve"> ประจำปีงบประมาณ 2562</v>
      </c>
      <c r="H239" s="318"/>
      <c r="I239" s="318"/>
      <c r="J239" s="319"/>
      <c r="L239" s="260"/>
      <c r="M239" s="261"/>
      <c r="N239" s="261"/>
      <c r="O239" s="261"/>
      <c r="P239" s="261"/>
      <c r="Q239" s="318" t="str">
        <f>G3</f>
        <v xml:space="preserve"> ประจำปีงบประมาณ 2562</v>
      </c>
      <c r="R239" s="318"/>
      <c r="S239" s="318"/>
      <c r="T239" s="319"/>
      <c r="U239" s="265"/>
      <c r="V239" s="266"/>
      <c r="W239" s="266"/>
      <c r="X239" s="266"/>
      <c r="Y239" s="266"/>
      <c r="Z239" s="265"/>
      <c r="AA239" s="265"/>
      <c r="AB239" s="265"/>
      <c r="AC239" s="265"/>
      <c r="AD239" s="265"/>
    </row>
    <row r="240" spans="2:30" ht="6" customHeight="1">
      <c r="B240" s="27"/>
      <c r="C240" s="26"/>
      <c r="D240" s="26"/>
      <c r="E240" s="26"/>
      <c r="F240" s="26"/>
      <c r="G240" s="320" t="str">
        <f>ข้อมูลทำเนียบ!B40</f>
        <v>ร.ต.อ.ธุวชิต  สอนศรี/ชิต</v>
      </c>
      <c r="H240" s="320"/>
      <c r="I240" s="320"/>
      <c r="J240" s="321"/>
      <c r="L240" s="27"/>
      <c r="M240" s="26"/>
      <c r="N240" s="26"/>
      <c r="O240" s="26"/>
      <c r="P240" s="26"/>
      <c r="Q240" s="320" t="str">
        <f>ข้อมูลทำเนียบ!B41</f>
        <v>ร.ต.อ.อมร  เมืองแก้ว/มอน</v>
      </c>
      <c r="R240" s="320"/>
      <c r="S240" s="320"/>
      <c r="T240" s="321"/>
      <c r="V240" s="124"/>
      <c r="W240" s="47"/>
      <c r="X240" s="125"/>
      <c r="Y240" s="125"/>
    </row>
    <row r="241" spans="2:30" ht="12" customHeight="1">
      <c r="B241" s="27"/>
      <c r="C241" s="26"/>
      <c r="D241" s="25">
        <v>1</v>
      </c>
      <c r="E241" s="26"/>
      <c r="F241" s="26"/>
      <c r="G241" s="320"/>
      <c r="H241" s="320"/>
      <c r="I241" s="320"/>
      <c r="J241" s="321"/>
      <c r="L241" s="27"/>
      <c r="M241" s="26"/>
      <c r="N241" s="25">
        <v>1</v>
      </c>
      <c r="O241" s="26"/>
      <c r="P241" s="26"/>
      <c r="Q241" s="320"/>
      <c r="R241" s="320"/>
      <c r="S241" s="320"/>
      <c r="T241" s="321"/>
      <c r="V241" s="124"/>
      <c r="W241" s="47"/>
      <c r="X241" s="125"/>
      <c r="Y241" s="125"/>
    </row>
    <row r="242" spans="2:30" ht="12" customHeight="1">
      <c r="B242" s="24"/>
      <c r="C242" s="23"/>
      <c r="D242" s="322">
        <v>37</v>
      </c>
      <c r="E242" s="23"/>
      <c r="F242" s="23"/>
      <c r="G242" s="320"/>
      <c r="H242" s="320"/>
      <c r="I242" s="320"/>
      <c r="J242" s="321"/>
      <c r="L242" s="24"/>
      <c r="M242" s="23"/>
      <c r="N242" s="322">
        <v>38</v>
      </c>
      <c r="O242" s="23"/>
      <c r="P242" s="23"/>
      <c r="Q242" s="320"/>
      <c r="R242" s="320"/>
      <c r="S242" s="320"/>
      <c r="T242" s="321"/>
      <c r="V242" s="124"/>
      <c r="W242" s="47"/>
      <c r="X242" s="125"/>
      <c r="Y242" s="125"/>
    </row>
    <row r="243" spans="2:30" ht="12" customHeight="1">
      <c r="B243" s="24"/>
      <c r="C243" s="23"/>
      <c r="D243" s="323"/>
      <c r="E243" s="23"/>
      <c r="F243" s="23"/>
      <c r="G243" s="320"/>
      <c r="H243" s="320"/>
      <c r="I243" s="320"/>
      <c r="J243" s="321"/>
      <c r="L243" s="24"/>
      <c r="M243" s="23"/>
      <c r="N243" s="323"/>
      <c r="O243" s="23"/>
      <c r="P243" s="23"/>
      <c r="Q243" s="320"/>
      <c r="R243" s="320"/>
      <c r="S243" s="320"/>
      <c r="T243" s="321"/>
      <c r="V243" s="124"/>
      <c r="W243" s="47"/>
      <c r="X243" s="125"/>
      <c r="Y243" s="125"/>
    </row>
    <row r="244" spans="2:30" ht="12" customHeight="1">
      <c r="B244" s="24"/>
      <c r="C244" s="23"/>
      <c r="D244" s="25"/>
      <c r="E244" s="23"/>
      <c r="F244" s="23"/>
      <c r="G244" s="320"/>
      <c r="H244" s="320"/>
      <c r="I244" s="320"/>
      <c r="J244" s="321"/>
      <c r="L244" s="24"/>
      <c r="M244" s="23"/>
      <c r="N244" s="25"/>
      <c r="O244" s="23"/>
      <c r="P244" s="23"/>
      <c r="Q244" s="320"/>
      <c r="R244" s="320"/>
      <c r="S244" s="320"/>
      <c r="T244" s="321"/>
      <c r="V244" s="124"/>
      <c r="W244" s="47"/>
      <c r="X244" s="125"/>
      <c r="Y244" s="125"/>
    </row>
    <row r="245" spans="2:30" ht="6" customHeight="1">
      <c r="B245" s="24"/>
      <c r="C245" s="23"/>
      <c r="D245" s="23"/>
      <c r="E245" s="23"/>
      <c r="F245" s="23"/>
      <c r="G245" s="324" t="str">
        <f>ข้อมูลทำเนียบ!C40</f>
        <v>รอง สวป.สภ.พรหมพิราม ภ.จว.พิษณุโลก</v>
      </c>
      <c r="H245" s="324"/>
      <c r="I245" s="324"/>
      <c r="J245" s="325"/>
      <c r="L245" s="24"/>
      <c r="M245" s="23"/>
      <c r="N245" s="23"/>
      <c r="O245" s="23"/>
      <c r="P245" s="23"/>
      <c r="Q245" s="324" t="str">
        <f>ข้อมูลทำเนียบ!C41</f>
        <v>รอง สวป.สภ.วังทอง ภ.จว.พิษณุโลก</v>
      </c>
      <c r="R245" s="324"/>
      <c r="S245" s="324"/>
      <c r="T245" s="325"/>
      <c r="V245" s="124"/>
      <c r="W245" s="47"/>
      <c r="X245" s="125"/>
      <c r="Y245" s="125"/>
    </row>
    <row r="246" spans="2:30" ht="12" customHeight="1">
      <c r="B246" s="14"/>
      <c r="C246" s="22"/>
      <c r="D246" s="328" t="str">
        <f>ข้อมูลทำเนียบ!L40</f>
        <v>Rh.O</v>
      </c>
      <c r="E246" s="22"/>
      <c r="F246" s="22"/>
      <c r="G246" s="324"/>
      <c r="H246" s="324"/>
      <c r="I246" s="324"/>
      <c r="J246" s="325"/>
      <c r="L246" s="14"/>
      <c r="M246" s="22"/>
      <c r="N246" s="328" t="str">
        <f>ข้อมูลทำเนียบ!L41</f>
        <v>Rh.B</v>
      </c>
      <c r="O246" s="22"/>
      <c r="P246" s="22"/>
      <c r="Q246" s="324"/>
      <c r="R246" s="324"/>
      <c r="S246" s="324"/>
      <c r="T246" s="325"/>
      <c r="V246" s="125"/>
      <c r="W246" s="125"/>
      <c r="X246" s="125"/>
      <c r="Y246" s="125"/>
    </row>
    <row r="247" spans="2:30" ht="12" customHeight="1">
      <c r="B247" s="21"/>
      <c r="C247" s="20"/>
      <c r="D247" s="329"/>
      <c r="E247" s="20"/>
      <c r="F247" s="20"/>
      <c r="G247" s="324"/>
      <c r="H247" s="324"/>
      <c r="I247" s="324"/>
      <c r="J247" s="325"/>
      <c r="L247" s="21"/>
      <c r="M247" s="20"/>
      <c r="N247" s="329"/>
      <c r="O247" s="20"/>
      <c r="P247" s="20"/>
      <c r="Q247" s="324"/>
      <c r="R247" s="324"/>
      <c r="S247" s="324"/>
      <c r="T247" s="325"/>
      <c r="V247" s="125"/>
      <c r="W247" s="125"/>
      <c r="X247" s="125"/>
      <c r="Y247" s="125"/>
    </row>
    <row r="248" spans="2:30" ht="12" customHeight="1">
      <c r="B248" s="21"/>
      <c r="C248" s="20"/>
      <c r="D248" s="330"/>
      <c r="E248" s="20"/>
      <c r="F248" s="20"/>
      <c r="G248" s="324"/>
      <c r="H248" s="324"/>
      <c r="I248" s="324"/>
      <c r="J248" s="325"/>
      <c r="L248" s="21"/>
      <c r="M248" s="20"/>
      <c r="N248" s="330"/>
      <c r="O248" s="20"/>
      <c r="P248" s="20"/>
      <c r="Q248" s="324"/>
      <c r="R248" s="324"/>
      <c r="S248" s="324"/>
      <c r="T248" s="325"/>
      <c r="V248" s="125"/>
      <c r="W248" s="125"/>
      <c r="X248" s="125"/>
      <c r="Y248" s="125"/>
    </row>
    <row r="249" spans="2:30" ht="6" customHeight="1" thickBot="1">
      <c r="B249" s="19"/>
      <c r="C249" s="18"/>
      <c r="D249" s="18"/>
      <c r="E249" s="18"/>
      <c r="F249" s="18"/>
      <c r="G249" s="326"/>
      <c r="H249" s="326"/>
      <c r="I249" s="326"/>
      <c r="J249" s="327"/>
      <c r="L249" s="19"/>
      <c r="M249" s="18"/>
      <c r="N249" s="18"/>
      <c r="O249" s="18"/>
      <c r="P249" s="18"/>
      <c r="Q249" s="326"/>
      <c r="R249" s="326"/>
      <c r="S249" s="326"/>
      <c r="T249" s="327"/>
      <c r="V249" s="125"/>
      <c r="W249" s="125"/>
      <c r="X249" s="125"/>
      <c r="Y249" s="125"/>
    </row>
    <row r="250" spans="2:30" ht="3" customHeight="1" thickTop="1" thickBot="1"/>
    <row r="251" spans="2:30" s="259" customFormat="1" ht="39" thickTop="1">
      <c r="B251" s="257"/>
      <c r="C251" s="258"/>
      <c r="D251" s="258"/>
      <c r="E251" s="258"/>
      <c r="F251" s="258"/>
      <c r="G251" s="316" t="str">
        <f>G2</f>
        <v>ปรับพื้นฐานยุทธวิธีตำรวจระดับครูฝึก(สัญญาบัตร) รุ่นที่2</v>
      </c>
      <c r="H251" s="316"/>
      <c r="I251" s="316"/>
      <c r="J251" s="317"/>
      <c r="L251" s="257"/>
      <c r="M251" s="258"/>
      <c r="N251" s="258"/>
      <c r="O251" s="258"/>
      <c r="P251" s="258"/>
      <c r="Q251" s="316" t="str">
        <f>G2</f>
        <v>ปรับพื้นฐานยุทธวิธีตำรวจระดับครูฝึก(สัญญาบัตร) รุ่นที่2</v>
      </c>
      <c r="R251" s="316"/>
      <c r="S251" s="316"/>
      <c r="T251" s="317"/>
      <c r="U251" s="264"/>
      <c r="V251" s="264"/>
      <c r="W251" s="264"/>
      <c r="X251" s="264"/>
      <c r="Y251" s="264"/>
      <c r="Z251" s="264"/>
      <c r="AA251" s="264"/>
      <c r="AB251" s="264"/>
      <c r="AC251" s="264"/>
      <c r="AD251" s="264"/>
    </row>
    <row r="252" spans="2:30" s="262" customFormat="1" ht="16.5" customHeight="1">
      <c r="B252" s="260"/>
      <c r="C252" s="261"/>
      <c r="D252" s="261"/>
      <c r="E252" s="261"/>
      <c r="F252" s="261"/>
      <c r="G252" s="318" t="str">
        <f>G3</f>
        <v xml:space="preserve"> ประจำปีงบประมาณ 2562</v>
      </c>
      <c r="H252" s="318"/>
      <c r="I252" s="318"/>
      <c r="J252" s="319"/>
      <c r="L252" s="260"/>
      <c r="M252" s="261"/>
      <c r="N252" s="261"/>
      <c r="O252" s="261"/>
      <c r="P252" s="261"/>
      <c r="Q252" s="318" t="str">
        <f>G3</f>
        <v xml:space="preserve"> ประจำปีงบประมาณ 2562</v>
      </c>
      <c r="R252" s="318"/>
      <c r="S252" s="318"/>
      <c r="T252" s="319"/>
      <c r="U252" s="265"/>
      <c r="V252" s="266"/>
      <c r="W252" s="266"/>
      <c r="X252" s="266"/>
      <c r="Y252" s="266"/>
      <c r="Z252" s="265"/>
      <c r="AA252" s="265"/>
      <c r="AB252" s="265"/>
      <c r="AC252" s="265"/>
      <c r="AD252" s="265"/>
    </row>
    <row r="253" spans="2:30" ht="6" customHeight="1">
      <c r="B253" s="27"/>
      <c r="C253" s="26"/>
      <c r="D253" s="26"/>
      <c r="E253" s="26"/>
      <c r="F253" s="26"/>
      <c r="G253" s="320" t="str">
        <f>ข้อมูลทำเนียบ!B42</f>
        <v>ร.ต.อ.พรชัย  ปิ่นชาลี/โล่</v>
      </c>
      <c r="H253" s="320"/>
      <c r="I253" s="320"/>
      <c r="J253" s="321"/>
      <c r="L253" s="27"/>
      <c r="M253" s="26"/>
      <c r="N253" s="26"/>
      <c r="O253" s="26"/>
      <c r="P253" s="26"/>
      <c r="Q253" s="320" t="str">
        <f>ข้อมูลทำเนียบ!B43</f>
        <v>ร.ต.ต.สันติพงษ์  แก้มกรม/พงษ์</v>
      </c>
      <c r="R253" s="320"/>
      <c r="S253" s="320"/>
      <c r="T253" s="321"/>
      <c r="V253" s="124"/>
      <c r="W253" s="47"/>
      <c r="X253" s="125"/>
      <c r="Y253" s="125"/>
    </row>
    <row r="254" spans="2:30" ht="12" customHeight="1">
      <c r="B254" s="27"/>
      <c r="C254" s="26"/>
      <c r="D254" s="25">
        <v>1</v>
      </c>
      <c r="E254" s="26"/>
      <c r="F254" s="26"/>
      <c r="G254" s="320"/>
      <c r="H254" s="320"/>
      <c r="I254" s="320"/>
      <c r="J254" s="321"/>
      <c r="L254" s="27"/>
      <c r="M254" s="26"/>
      <c r="N254" s="25">
        <v>1</v>
      </c>
      <c r="O254" s="26"/>
      <c r="P254" s="26"/>
      <c r="Q254" s="320"/>
      <c r="R254" s="320"/>
      <c r="S254" s="320"/>
      <c r="T254" s="321"/>
      <c r="V254" s="124"/>
      <c r="W254" s="47"/>
      <c r="X254" s="125"/>
      <c r="Y254" s="125"/>
    </row>
    <row r="255" spans="2:30" ht="12" customHeight="1">
      <c r="B255" s="24"/>
      <c r="C255" s="23"/>
      <c r="D255" s="322">
        <v>39</v>
      </c>
      <c r="E255" s="23"/>
      <c r="F255" s="23"/>
      <c r="G255" s="320"/>
      <c r="H255" s="320"/>
      <c r="I255" s="320"/>
      <c r="J255" s="321"/>
      <c r="L255" s="24"/>
      <c r="M255" s="23"/>
      <c r="N255" s="322">
        <v>40</v>
      </c>
      <c r="O255" s="23"/>
      <c r="P255" s="23"/>
      <c r="Q255" s="320"/>
      <c r="R255" s="320"/>
      <c r="S255" s="320"/>
      <c r="T255" s="321"/>
      <c r="V255" s="124"/>
      <c r="W255" s="47"/>
      <c r="X255" s="125"/>
      <c r="Y255" s="125"/>
    </row>
    <row r="256" spans="2:30" ht="12" customHeight="1">
      <c r="B256" s="24"/>
      <c r="C256" s="23"/>
      <c r="D256" s="323"/>
      <c r="E256" s="23"/>
      <c r="F256" s="23"/>
      <c r="G256" s="320"/>
      <c r="H256" s="320"/>
      <c r="I256" s="320"/>
      <c r="J256" s="321"/>
      <c r="L256" s="24"/>
      <c r="M256" s="23"/>
      <c r="N256" s="323"/>
      <c r="O256" s="23"/>
      <c r="P256" s="23"/>
      <c r="Q256" s="320"/>
      <c r="R256" s="320"/>
      <c r="S256" s="320"/>
      <c r="T256" s="321"/>
      <c r="V256" s="124"/>
      <c r="W256" s="47"/>
      <c r="X256" s="125"/>
      <c r="Y256" s="125"/>
    </row>
    <row r="257" spans="1:30" ht="12" customHeight="1">
      <c r="B257" s="24"/>
      <c r="C257" s="23"/>
      <c r="D257" s="25"/>
      <c r="E257" s="23"/>
      <c r="F257" s="23"/>
      <c r="G257" s="320"/>
      <c r="H257" s="320"/>
      <c r="I257" s="320"/>
      <c r="J257" s="321"/>
      <c r="L257" s="24"/>
      <c r="M257" s="23"/>
      <c r="N257" s="25"/>
      <c r="O257" s="23"/>
      <c r="P257" s="23"/>
      <c r="Q257" s="320"/>
      <c r="R257" s="320"/>
      <c r="S257" s="320"/>
      <c r="T257" s="321"/>
      <c r="V257" s="124"/>
      <c r="W257" s="47"/>
      <c r="X257" s="125"/>
      <c r="Y257" s="125"/>
    </row>
    <row r="258" spans="1:30" ht="6" customHeight="1">
      <c r="B258" s="24"/>
      <c r="C258" s="23"/>
      <c r="D258" s="23"/>
      <c r="E258" s="23"/>
      <c r="F258" s="23"/>
      <c r="G258" s="324" t="str">
        <f>ข้อมูลทำเนียบ!C42</f>
        <v>รอง สวป.สภ.เมืองเพชรบูรณ์</v>
      </c>
      <c r="H258" s="324"/>
      <c r="I258" s="324"/>
      <c r="J258" s="325"/>
      <c r="L258" s="24"/>
      <c r="M258" s="23"/>
      <c r="N258" s="23"/>
      <c r="O258" s="23"/>
      <c r="P258" s="23"/>
      <c r="Q258" s="324" t="str">
        <f>ข้อมูลทำเนียบ!C43</f>
        <v>รอง สวป.สภ.หล่มสัก ภ.จว.เพชรบูรณ์</v>
      </c>
      <c r="R258" s="324"/>
      <c r="S258" s="324"/>
      <c r="T258" s="325"/>
      <c r="V258" s="124"/>
      <c r="W258" s="47"/>
      <c r="X258" s="125"/>
      <c r="Y258" s="125"/>
    </row>
    <row r="259" spans="1:30" ht="12" customHeight="1">
      <c r="B259" s="14"/>
      <c r="C259" s="22"/>
      <c r="D259" s="328" t="str">
        <f>ข้อมูลทำเนียบ!L42</f>
        <v>Rh.B</v>
      </c>
      <c r="E259" s="22"/>
      <c r="F259" s="22"/>
      <c r="G259" s="324"/>
      <c r="H259" s="324"/>
      <c r="I259" s="324"/>
      <c r="J259" s="325"/>
      <c r="L259" s="14"/>
      <c r="M259" s="22"/>
      <c r="N259" s="328" t="str">
        <f>ข้อมูลทำเนียบ!L43</f>
        <v>Rh.AB</v>
      </c>
      <c r="O259" s="22"/>
      <c r="P259" s="22"/>
      <c r="Q259" s="324"/>
      <c r="R259" s="324"/>
      <c r="S259" s="324"/>
      <c r="T259" s="325"/>
      <c r="V259" s="125"/>
      <c r="W259" s="125"/>
      <c r="X259" s="125"/>
      <c r="Y259" s="125"/>
    </row>
    <row r="260" spans="1:30" ht="12" customHeight="1">
      <c r="B260" s="21"/>
      <c r="C260" s="20"/>
      <c r="D260" s="329"/>
      <c r="E260" s="20"/>
      <c r="F260" s="20"/>
      <c r="G260" s="324"/>
      <c r="H260" s="324"/>
      <c r="I260" s="324"/>
      <c r="J260" s="325"/>
      <c r="L260" s="21"/>
      <c r="M260" s="20"/>
      <c r="N260" s="329"/>
      <c r="O260" s="20"/>
      <c r="P260" s="20"/>
      <c r="Q260" s="324"/>
      <c r="R260" s="324"/>
      <c r="S260" s="324"/>
      <c r="T260" s="325"/>
      <c r="V260" s="125"/>
      <c r="W260" s="125"/>
      <c r="X260" s="125"/>
      <c r="Y260" s="125"/>
    </row>
    <row r="261" spans="1:30" ht="12" customHeight="1">
      <c r="B261" s="21"/>
      <c r="C261" s="20"/>
      <c r="D261" s="330"/>
      <c r="E261" s="20"/>
      <c r="F261" s="20"/>
      <c r="G261" s="324"/>
      <c r="H261" s="324"/>
      <c r="I261" s="324"/>
      <c r="J261" s="325"/>
      <c r="L261" s="21"/>
      <c r="M261" s="20"/>
      <c r="N261" s="330"/>
      <c r="O261" s="20"/>
      <c r="P261" s="20"/>
      <c r="Q261" s="324"/>
      <c r="R261" s="324"/>
      <c r="S261" s="324"/>
      <c r="T261" s="325"/>
      <c r="V261" s="125"/>
      <c r="W261" s="125"/>
      <c r="X261" s="125"/>
      <c r="Y261" s="125"/>
    </row>
    <row r="262" spans="1:30" ht="2.25" customHeight="1" thickBot="1">
      <c r="B262" s="19"/>
      <c r="C262" s="18"/>
      <c r="D262" s="18"/>
      <c r="E262" s="18"/>
      <c r="F262" s="18"/>
      <c r="G262" s="326"/>
      <c r="H262" s="326"/>
      <c r="I262" s="326"/>
      <c r="J262" s="327"/>
      <c r="L262" s="19"/>
      <c r="M262" s="18"/>
      <c r="N262" s="18"/>
      <c r="O262" s="18"/>
      <c r="P262" s="18"/>
      <c r="Q262" s="326"/>
      <c r="R262" s="326"/>
      <c r="S262" s="326"/>
      <c r="T262" s="327"/>
      <c r="V262" s="125"/>
      <c r="W262" s="125"/>
      <c r="X262" s="125"/>
      <c r="Y262" s="125"/>
    </row>
    <row r="263" spans="1:30" ht="2.25" customHeight="1" thickTop="1" thickBot="1"/>
    <row r="264" spans="1:30" s="263" customFormat="1" ht="39" thickTop="1">
      <c r="A264" s="259"/>
      <c r="B264" s="257"/>
      <c r="C264" s="258"/>
      <c r="D264" s="258"/>
      <c r="E264" s="258"/>
      <c r="F264" s="258"/>
      <c r="G264" s="316" t="str">
        <f>G15</f>
        <v>ปรับพื้นฐานยุทธวิธีตำรวจระดับครูฝึก(สัญญาบัตร) รุ่นที่2</v>
      </c>
      <c r="H264" s="316"/>
      <c r="I264" s="316"/>
      <c r="J264" s="317"/>
      <c r="K264" s="259"/>
      <c r="L264" s="257"/>
      <c r="M264" s="258"/>
      <c r="N264" s="258"/>
      <c r="O264" s="258"/>
      <c r="P264" s="258"/>
      <c r="Q264" s="316" t="str">
        <f>G15</f>
        <v>ปรับพื้นฐานยุทธวิธีตำรวจระดับครูฝึก(สัญญาบัตร) รุ่นที่2</v>
      </c>
      <c r="R264" s="316"/>
      <c r="S264" s="316"/>
      <c r="T264" s="317"/>
      <c r="U264" s="267"/>
      <c r="V264" s="268"/>
      <c r="W264" s="267"/>
      <c r="X264" s="267"/>
      <c r="Y264" s="267"/>
      <c r="Z264" s="267"/>
      <c r="AA264" s="267"/>
      <c r="AB264" s="267"/>
      <c r="AC264" s="267"/>
      <c r="AD264" s="267"/>
    </row>
    <row r="265" spans="1:30" s="263" customFormat="1" ht="16.5" customHeight="1">
      <c r="A265" s="262"/>
      <c r="B265" s="260"/>
      <c r="C265" s="261"/>
      <c r="D265" s="261"/>
      <c r="E265" s="261"/>
      <c r="F265" s="261"/>
      <c r="G265" s="318" t="str">
        <f>G16</f>
        <v xml:space="preserve"> ประจำปีงบประมาณ 2562</v>
      </c>
      <c r="H265" s="318"/>
      <c r="I265" s="318"/>
      <c r="J265" s="319"/>
      <c r="K265" s="262"/>
      <c r="L265" s="260"/>
      <c r="M265" s="261"/>
      <c r="N265" s="261"/>
      <c r="O265" s="261"/>
      <c r="P265" s="261"/>
      <c r="Q265" s="318" t="str">
        <f>G16</f>
        <v xml:space="preserve"> ประจำปีงบประมาณ 2562</v>
      </c>
      <c r="R265" s="318"/>
      <c r="S265" s="318"/>
      <c r="T265" s="319"/>
      <c r="U265" s="267"/>
      <c r="V265" s="267"/>
      <c r="W265" s="267"/>
      <c r="X265" s="267"/>
      <c r="Y265" s="267"/>
      <c r="Z265" s="267"/>
      <c r="AA265" s="267"/>
      <c r="AB265" s="267"/>
      <c r="AC265" s="267"/>
      <c r="AD265" s="267"/>
    </row>
    <row r="266" spans="1:30" ht="6.75" customHeight="1">
      <c r="B266" s="27"/>
      <c r="C266" s="26"/>
      <c r="D266" s="26"/>
      <c r="E266" s="26"/>
      <c r="F266" s="26"/>
      <c r="G266" s="320" t="str">
        <f>ข้อมูลทำเนียบ!B44</f>
        <v>ร.ต.อ.ไกรวุฒิ  แก้วภิรมย์</v>
      </c>
      <c r="H266" s="320"/>
      <c r="I266" s="320"/>
      <c r="J266" s="321"/>
      <c r="L266" s="27"/>
      <c r="M266" s="26"/>
      <c r="N266" s="26"/>
      <c r="O266" s="26"/>
      <c r="P266" s="26"/>
      <c r="Q266" s="320" t="str">
        <f>ข้อมูลทำเนียบ!B45</f>
        <v>ร.ต.อ.วัฒนา  ศรีศิลป์/เจี๊ยบ</v>
      </c>
      <c r="R266" s="320"/>
      <c r="S266" s="320"/>
      <c r="T266" s="321"/>
    </row>
    <row r="267" spans="1:30" ht="11.25" customHeight="1">
      <c r="B267" s="27"/>
      <c r="C267" s="26"/>
      <c r="D267" s="25">
        <v>1</v>
      </c>
      <c r="E267" s="26"/>
      <c r="F267" s="26"/>
      <c r="G267" s="320"/>
      <c r="H267" s="320"/>
      <c r="I267" s="320"/>
      <c r="J267" s="321"/>
      <c r="L267" s="27"/>
      <c r="M267" s="26"/>
      <c r="N267" s="25">
        <v>1</v>
      </c>
      <c r="O267" s="26"/>
      <c r="P267" s="26"/>
      <c r="Q267" s="320"/>
      <c r="R267" s="320"/>
      <c r="S267" s="320"/>
      <c r="T267" s="321"/>
    </row>
    <row r="268" spans="1:30" ht="11.25" customHeight="1">
      <c r="B268" s="24"/>
      <c r="C268" s="23"/>
      <c r="D268" s="322">
        <v>41</v>
      </c>
      <c r="E268" s="23"/>
      <c r="F268" s="23"/>
      <c r="G268" s="320"/>
      <c r="H268" s="320"/>
      <c r="I268" s="320"/>
      <c r="J268" s="321"/>
      <c r="L268" s="24"/>
      <c r="M268" s="23"/>
      <c r="N268" s="322">
        <v>42</v>
      </c>
      <c r="O268" s="23"/>
      <c r="P268" s="23"/>
      <c r="Q268" s="320"/>
      <c r="R268" s="320"/>
      <c r="S268" s="320"/>
      <c r="T268" s="321"/>
    </row>
    <row r="269" spans="1:30" ht="11.25" customHeight="1">
      <c r="B269" s="24"/>
      <c r="C269" s="23"/>
      <c r="D269" s="323"/>
      <c r="E269" s="23"/>
      <c r="F269" s="23"/>
      <c r="G269" s="320"/>
      <c r="H269" s="320"/>
      <c r="I269" s="320"/>
      <c r="J269" s="321"/>
      <c r="L269" s="24"/>
      <c r="M269" s="23"/>
      <c r="N269" s="323"/>
      <c r="O269" s="23"/>
      <c r="P269" s="23"/>
      <c r="Q269" s="320"/>
      <c r="R269" s="320"/>
      <c r="S269" s="320"/>
      <c r="T269" s="321"/>
    </row>
    <row r="270" spans="1:30" ht="9" customHeight="1">
      <c r="B270" s="24"/>
      <c r="C270" s="23"/>
      <c r="D270" s="25"/>
      <c r="E270" s="23"/>
      <c r="F270" s="23"/>
      <c r="G270" s="320"/>
      <c r="H270" s="320"/>
      <c r="I270" s="320"/>
      <c r="J270" s="321"/>
      <c r="L270" s="24"/>
      <c r="M270" s="23"/>
      <c r="N270" s="25"/>
      <c r="O270" s="23"/>
      <c r="P270" s="23"/>
      <c r="Q270" s="320"/>
      <c r="R270" s="320"/>
      <c r="S270" s="320"/>
      <c r="T270" s="321"/>
    </row>
    <row r="271" spans="1:30" ht="6" customHeight="1">
      <c r="B271" s="24"/>
      <c r="C271" s="23"/>
      <c r="D271" s="23"/>
      <c r="E271" s="23"/>
      <c r="F271" s="23"/>
      <c r="G271" s="320" t="str">
        <f>ข้อมูลทำเนียบ!C44</f>
        <v>รอง สวป.สภ.ปากเกร็ด ภ.จว.นนทบุรี</v>
      </c>
      <c r="H271" s="320"/>
      <c r="I271" s="320"/>
      <c r="J271" s="321"/>
      <c r="L271" s="24"/>
      <c r="M271" s="23"/>
      <c r="N271" s="23"/>
      <c r="O271" s="23"/>
      <c r="P271" s="23"/>
      <c r="Q271" s="320" t="str">
        <f>ข้อมูลทำเนียบ!C45</f>
        <v>รอง สวป.สภ.บ้านตาขุน ภ.จว.สุราษฎร์ธานี</v>
      </c>
      <c r="R271" s="320"/>
      <c r="S271" s="320"/>
      <c r="T271" s="321"/>
    </row>
    <row r="272" spans="1:30" ht="20.25" customHeight="1">
      <c r="B272" s="14"/>
      <c r="C272" s="22"/>
      <c r="D272" s="328" t="str">
        <f>ข้อมูลทำเนียบ!L44</f>
        <v>Rh.O</v>
      </c>
      <c r="E272" s="22"/>
      <c r="F272" s="22"/>
      <c r="G272" s="320"/>
      <c r="H272" s="320"/>
      <c r="I272" s="320"/>
      <c r="J272" s="321"/>
      <c r="L272" s="14"/>
      <c r="M272" s="22"/>
      <c r="N272" s="328" t="str">
        <f>ข้อมูลทำเนียบ!L45</f>
        <v>Rh.</v>
      </c>
      <c r="O272" s="22"/>
      <c r="P272" s="22"/>
      <c r="Q272" s="320"/>
      <c r="R272" s="320"/>
      <c r="S272" s="320"/>
      <c r="T272" s="321"/>
    </row>
    <row r="273" spans="2:30" ht="12" customHeight="1">
      <c r="B273" s="21"/>
      <c r="C273" s="20"/>
      <c r="D273" s="329"/>
      <c r="E273" s="20"/>
      <c r="F273" s="20"/>
      <c r="G273" s="320"/>
      <c r="H273" s="320"/>
      <c r="I273" s="320"/>
      <c r="J273" s="321"/>
      <c r="L273" s="21"/>
      <c r="M273" s="20"/>
      <c r="N273" s="329"/>
      <c r="O273" s="20"/>
      <c r="P273" s="20"/>
      <c r="Q273" s="320"/>
      <c r="R273" s="320"/>
      <c r="S273" s="320"/>
      <c r="T273" s="321"/>
    </row>
    <row r="274" spans="2:30" ht="11.25" customHeight="1">
      <c r="B274" s="21"/>
      <c r="C274" s="20"/>
      <c r="D274" s="330"/>
      <c r="E274" s="20"/>
      <c r="F274" s="20"/>
      <c r="G274" s="320"/>
      <c r="H274" s="320"/>
      <c r="I274" s="320"/>
      <c r="J274" s="321"/>
      <c r="L274" s="21"/>
      <c r="M274" s="20"/>
      <c r="N274" s="330"/>
      <c r="O274" s="20"/>
      <c r="P274" s="20"/>
      <c r="Q274" s="320"/>
      <c r="R274" s="320"/>
      <c r="S274" s="320"/>
      <c r="T274" s="321"/>
    </row>
    <row r="275" spans="2:30" ht="12.75" customHeight="1" thickBot="1">
      <c r="B275" s="19"/>
      <c r="C275" s="18"/>
      <c r="D275" s="18"/>
      <c r="E275" s="18"/>
      <c r="F275" s="18"/>
      <c r="G275" s="320"/>
      <c r="H275" s="320"/>
      <c r="I275" s="320"/>
      <c r="J275" s="321"/>
      <c r="L275" s="19"/>
      <c r="M275" s="18"/>
      <c r="N275" s="18"/>
      <c r="O275" s="18"/>
      <c r="P275" s="18"/>
      <c r="Q275" s="320"/>
      <c r="R275" s="320"/>
      <c r="S275" s="320"/>
      <c r="T275" s="321"/>
    </row>
    <row r="276" spans="2:30" ht="3" customHeight="1" thickTop="1" thickBot="1"/>
    <row r="277" spans="2:30" s="259" customFormat="1" ht="39" thickTop="1">
      <c r="B277" s="257"/>
      <c r="C277" s="258"/>
      <c r="D277" s="258"/>
      <c r="E277" s="258"/>
      <c r="F277" s="258"/>
      <c r="G277" s="316" t="str">
        <f>G28</f>
        <v>ปรับพื้นฐานยุทธวิธีตำรวจระดับครูฝึก(สัญญาบัตร) รุ่นที่2</v>
      </c>
      <c r="H277" s="316"/>
      <c r="I277" s="316"/>
      <c r="J277" s="317"/>
      <c r="L277" s="257"/>
      <c r="M277" s="258"/>
      <c r="N277" s="258"/>
      <c r="O277" s="258"/>
      <c r="P277" s="258"/>
      <c r="Q277" s="316" t="str">
        <f>G28</f>
        <v>ปรับพื้นฐานยุทธวิธีตำรวจระดับครูฝึก(สัญญาบัตร) รุ่นที่2</v>
      </c>
      <c r="R277" s="316"/>
      <c r="S277" s="316"/>
      <c r="T277" s="317"/>
      <c r="U277" s="264"/>
      <c r="V277" s="264"/>
      <c r="W277" s="264"/>
      <c r="X277" s="264"/>
      <c r="Y277" s="264"/>
      <c r="Z277" s="264"/>
      <c r="AA277" s="264"/>
      <c r="AB277" s="264"/>
      <c r="AC277" s="264"/>
      <c r="AD277" s="264"/>
    </row>
    <row r="278" spans="2:30" s="262" customFormat="1" ht="16.5" customHeight="1">
      <c r="B278" s="260"/>
      <c r="C278" s="261"/>
      <c r="D278" s="261"/>
      <c r="E278" s="261"/>
      <c r="F278" s="261"/>
      <c r="G278" s="318" t="str">
        <f>G29</f>
        <v xml:space="preserve"> ประจำปีงบประมาณ 2562</v>
      </c>
      <c r="H278" s="318"/>
      <c r="I278" s="318"/>
      <c r="J278" s="319"/>
      <c r="L278" s="260"/>
      <c r="M278" s="261"/>
      <c r="N278" s="261"/>
      <c r="O278" s="261"/>
      <c r="P278" s="261"/>
      <c r="Q278" s="318" t="str">
        <f>G29</f>
        <v xml:space="preserve"> ประจำปีงบประมาณ 2562</v>
      </c>
      <c r="R278" s="318"/>
      <c r="S278" s="318"/>
      <c r="T278" s="319"/>
      <c r="U278" s="265"/>
      <c r="V278" s="266"/>
      <c r="W278" s="266"/>
      <c r="X278" s="266"/>
      <c r="Y278" s="266"/>
      <c r="Z278" s="265"/>
      <c r="AA278" s="265"/>
      <c r="AB278" s="265"/>
      <c r="AC278" s="265"/>
      <c r="AD278" s="265"/>
    </row>
    <row r="279" spans="2:30" ht="6" customHeight="1">
      <c r="B279" s="27"/>
      <c r="C279" s="26"/>
      <c r="D279" s="26"/>
      <c r="E279" s="26"/>
      <c r="F279" s="26"/>
      <c r="G279" s="320" t="str">
        <f>ข้อมูลทำเนียบ!B46</f>
        <v>ร.ต.อ.มนตรี  พรหมแก้ว/มน</v>
      </c>
      <c r="H279" s="320"/>
      <c r="I279" s="320"/>
      <c r="J279" s="321"/>
      <c r="L279" s="27"/>
      <c r="M279" s="26"/>
      <c r="N279" s="26"/>
      <c r="O279" s="26"/>
      <c r="P279" s="26"/>
      <c r="Q279" s="320" t="str">
        <f>ข้อมูลทำเนียบ!B47</f>
        <v>ร.ต.อ.หัตพัต  ใจโปร่ง/เอ็ม</v>
      </c>
      <c r="R279" s="320"/>
      <c r="S279" s="320"/>
      <c r="T279" s="321"/>
      <c r="V279" s="124"/>
      <c r="W279" s="47"/>
      <c r="X279" s="125"/>
      <c r="Y279" s="125"/>
    </row>
    <row r="280" spans="2:30" ht="12" customHeight="1">
      <c r="B280" s="27"/>
      <c r="C280" s="26"/>
      <c r="D280" s="25">
        <v>1</v>
      </c>
      <c r="E280" s="26"/>
      <c r="F280" s="26"/>
      <c r="G280" s="320"/>
      <c r="H280" s="320"/>
      <c r="I280" s="320"/>
      <c r="J280" s="321"/>
      <c r="L280" s="27"/>
      <c r="M280" s="26"/>
      <c r="N280" s="25">
        <v>1</v>
      </c>
      <c r="O280" s="26"/>
      <c r="P280" s="26"/>
      <c r="Q280" s="320"/>
      <c r="R280" s="320"/>
      <c r="S280" s="320"/>
      <c r="T280" s="321"/>
      <c r="V280" s="124"/>
      <c r="W280" s="47"/>
      <c r="X280" s="125"/>
      <c r="Y280" s="125"/>
    </row>
    <row r="281" spans="2:30" ht="12" customHeight="1">
      <c r="B281" s="24"/>
      <c r="C281" s="23"/>
      <c r="D281" s="322">
        <v>43</v>
      </c>
      <c r="E281" s="23"/>
      <c r="F281" s="23"/>
      <c r="G281" s="320"/>
      <c r="H281" s="320"/>
      <c r="I281" s="320"/>
      <c r="J281" s="321"/>
      <c r="L281" s="24"/>
      <c r="M281" s="23"/>
      <c r="N281" s="322">
        <v>44</v>
      </c>
      <c r="O281" s="23"/>
      <c r="P281" s="23"/>
      <c r="Q281" s="320"/>
      <c r="R281" s="320"/>
      <c r="S281" s="320"/>
      <c r="T281" s="321"/>
      <c r="V281" s="124"/>
      <c r="W281" s="47"/>
      <c r="X281" s="125"/>
      <c r="Y281" s="125"/>
    </row>
    <row r="282" spans="2:30" ht="12" customHeight="1">
      <c r="B282" s="24"/>
      <c r="C282" s="23"/>
      <c r="D282" s="323"/>
      <c r="E282" s="23"/>
      <c r="F282" s="23"/>
      <c r="G282" s="320"/>
      <c r="H282" s="320"/>
      <c r="I282" s="320"/>
      <c r="J282" s="321"/>
      <c r="L282" s="24"/>
      <c r="M282" s="23"/>
      <c r="N282" s="323"/>
      <c r="O282" s="23"/>
      <c r="P282" s="23"/>
      <c r="Q282" s="320"/>
      <c r="R282" s="320"/>
      <c r="S282" s="320"/>
      <c r="T282" s="321"/>
      <c r="V282" s="124"/>
      <c r="W282" s="47"/>
      <c r="X282" s="125"/>
      <c r="Y282" s="125"/>
    </row>
    <row r="283" spans="2:30" ht="9.75" customHeight="1">
      <c r="B283" s="24"/>
      <c r="C283" s="23"/>
      <c r="D283" s="25"/>
      <c r="E283" s="23"/>
      <c r="F283" s="23"/>
      <c r="G283" s="320"/>
      <c r="H283" s="320"/>
      <c r="I283" s="320"/>
      <c r="J283" s="321"/>
      <c r="L283" s="24"/>
      <c r="M283" s="23"/>
      <c r="N283" s="25"/>
      <c r="O283" s="23"/>
      <c r="P283" s="23"/>
      <c r="Q283" s="320"/>
      <c r="R283" s="320"/>
      <c r="S283" s="320"/>
      <c r="T283" s="321"/>
      <c r="V283" s="124"/>
      <c r="W283" s="47"/>
      <c r="X283" s="125"/>
      <c r="Y283" s="125"/>
    </row>
    <row r="284" spans="2:30" ht="6" customHeight="1">
      <c r="B284" s="24"/>
      <c r="C284" s="23"/>
      <c r="D284" s="23"/>
      <c r="E284" s="23"/>
      <c r="F284" s="23"/>
      <c r="G284" s="324" t="str">
        <f>ข้อมูลทำเนียบ!C46</f>
        <v>รอง สว.กก.สส.ภ.จว.นครศรีธรรมราช</v>
      </c>
      <c r="H284" s="324"/>
      <c r="I284" s="324"/>
      <c r="J284" s="325"/>
      <c r="L284" s="24"/>
      <c r="M284" s="23"/>
      <c r="N284" s="23"/>
      <c r="O284" s="23"/>
      <c r="P284" s="23"/>
      <c r="Q284" s="324" t="str">
        <f>ข้อมูลทำเนียบ!C47</f>
        <v>รอง สว.กก.สส.ภ.จว.นครศรีธรรมราช</v>
      </c>
      <c r="R284" s="324"/>
      <c r="S284" s="324"/>
      <c r="T284" s="325"/>
      <c r="V284" s="124"/>
      <c r="W284" s="47"/>
      <c r="X284" s="125"/>
      <c r="Y284" s="125"/>
    </row>
    <row r="285" spans="2:30" ht="12" customHeight="1">
      <c r="B285" s="14"/>
      <c r="C285" s="22"/>
      <c r="D285" s="328" t="str">
        <f>ข้อมูลทำเนียบ!L46</f>
        <v>Rh.A</v>
      </c>
      <c r="E285" s="22"/>
      <c r="F285" s="22"/>
      <c r="G285" s="324"/>
      <c r="H285" s="324"/>
      <c r="I285" s="324"/>
      <c r="J285" s="325"/>
      <c r="L285" s="14"/>
      <c r="M285" s="22"/>
      <c r="N285" s="328" t="str">
        <f>ข้อมูลทำเนียบ!L47</f>
        <v>Rh.O</v>
      </c>
      <c r="O285" s="22"/>
      <c r="P285" s="22"/>
      <c r="Q285" s="324"/>
      <c r="R285" s="324"/>
      <c r="S285" s="324"/>
      <c r="T285" s="325"/>
      <c r="V285" s="125"/>
      <c r="W285" s="125"/>
      <c r="X285" s="125"/>
      <c r="Y285" s="125"/>
    </row>
    <row r="286" spans="2:30" ht="12" customHeight="1">
      <c r="B286" s="21"/>
      <c r="C286" s="20"/>
      <c r="D286" s="329"/>
      <c r="E286" s="20"/>
      <c r="F286" s="20"/>
      <c r="G286" s="324"/>
      <c r="H286" s="324"/>
      <c r="I286" s="324"/>
      <c r="J286" s="325"/>
      <c r="L286" s="21"/>
      <c r="M286" s="20"/>
      <c r="N286" s="329"/>
      <c r="O286" s="20"/>
      <c r="P286" s="20"/>
      <c r="Q286" s="324"/>
      <c r="R286" s="324"/>
      <c r="S286" s="324"/>
      <c r="T286" s="325"/>
      <c r="V286" s="125"/>
      <c r="W286" s="125"/>
      <c r="X286" s="125"/>
      <c r="Y286" s="125"/>
    </row>
    <row r="287" spans="2:30" ht="12" customHeight="1">
      <c r="B287" s="21"/>
      <c r="C287" s="20"/>
      <c r="D287" s="330"/>
      <c r="E287" s="20"/>
      <c r="F287" s="20"/>
      <c r="G287" s="324"/>
      <c r="H287" s="324"/>
      <c r="I287" s="324"/>
      <c r="J287" s="325"/>
      <c r="L287" s="21"/>
      <c r="M287" s="20"/>
      <c r="N287" s="330"/>
      <c r="O287" s="20"/>
      <c r="P287" s="20"/>
      <c r="Q287" s="324"/>
      <c r="R287" s="324"/>
      <c r="S287" s="324"/>
      <c r="T287" s="325"/>
      <c r="V287" s="125"/>
      <c r="W287" s="125"/>
      <c r="X287" s="125"/>
      <c r="Y287" s="125"/>
    </row>
    <row r="288" spans="2:30" ht="6" customHeight="1" thickBot="1">
      <c r="B288" s="19"/>
      <c r="C288" s="18"/>
      <c r="D288" s="18"/>
      <c r="E288" s="18"/>
      <c r="F288" s="18"/>
      <c r="G288" s="326"/>
      <c r="H288" s="326"/>
      <c r="I288" s="326"/>
      <c r="J288" s="327"/>
      <c r="L288" s="19"/>
      <c r="M288" s="18"/>
      <c r="N288" s="18"/>
      <c r="O288" s="18"/>
      <c r="P288" s="18"/>
      <c r="Q288" s="326"/>
      <c r="R288" s="326"/>
      <c r="S288" s="326"/>
      <c r="T288" s="327"/>
      <c r="V288" s="125"/>
      <c r="W288" s="125"/>
      <c r="X288" s="125"/>
      <c r="Y288" s="125"/>
    </row>
    <row r="289" spans="2:30" ht="3.75" customHeight="1" thickTop="1" thickBot="1"/>
    <row r="290" spans="2:30" s="259" customFormat="1" ht="39" thickTop="1">
      <c r="B290" s="257"/>
      <c r="C290" s="258"/>
      <c r="D290" s="258"/>
      <c r="E290" s="258"/>
      <c r="F290" s="258"/>
      <c r="G290" s="316" t="str">
        <f>G41</f>
        <v>ปรับพื้นฐานยุทธวิธีตำรวจระดับครูฝึก(สัญญาบัตร) รุ่นที่2</v>
      </c>
      <c r="H290" s="316"/>
      <c r="I290" s="316"/>
      <c r="J290" s="317"/>
      <c r="L290" s="257"/>
      <c r="M290" s="258"/>
      <c r="N290" s="258"/>
      <c r="O290" s="258"/>
      <c r="P290" s="258"/>
      <c r="Q290" s="316" t="str">
        <f>G41</f>
        <v>ปรับพื้นฐานยุทธวิธีตำรวจระดับครูฝึก(สัญญาบัตร) รุ่นที่2</v>
      </c>
      <c r="R290" s="316"/>
      <c r="S290" s="316"/>
      <c r="T290" s="317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</row>
    <row r="291" spans="2:30" s="262" customFormat="1" ht="16.5" customHeight="1">
      <c r="B291" s="260"/>
      <c r="C291" s="261"/>
      <c r="D291" s="261"/>
      <c r="E291" s="261"/>
      <c r="F291" s="261"/>
      <c r="G291" s="318" t="str">
        <f>G42</f>
        <v xml:space="preserve"> ประจำปีงบประมาณ 2562</v>
      </c>
      <c r="H291" s="318"/>
      <c r="I291" s="318"/>
      <c r="J291" s="319"/>
      <c r="L291" s="260"/>
      <c r="M291" s="261"/>
      <c r="N291" s="261"/>
      <c r="O291" s="261"/>
      <c r="P291" s="261"/>
      <c r="Q291" s="318" t="str">
        <f>G42</f>
        <v xml:space="preserve"> ประจำปีงบประมาณ 2562</v>
      </c>
      <c r="R291" s="318"/>
      <c r="S291" s="318"/>
      <c r="T291" s="319"/>
      <c r="U291" s="265"/>
      <c r="V291" s="266"/>
      <c r="W291" s="266"/>
      <c r="X291" s="266"/>
      <c r="Y291" s="266"/>
      <c r="Z291" s="265"/>
      <c r="AA291" s="265"/>
      <c r="AB291" s="265"/>
      <c r="AC291" s="265"/>
      <c r="AD291" s="265"/>
    </row>
    <row r="292" spans="2:30" ht="6" customHeight="1">
      <c r="B292" s="27"/>
      <c r="C292" s="26"/>
      <c r="D292" s="26"/>
      <c r="E292" s="26"/>
      <c r="F292" s="26"/>
      <c r="G292" s="320" t="str">
        <f>ข้อมูลทำเนียบ!B48</f>
        <v>ร.ต.อ.เศรษฐพงศ์  สุกกระ/เส</v>
      </c>
      <c r="H292" s="320"/>
      <c r="I292" s="320"/>
      <c r="J292" s="321"/>
      <c r="L292" s="27"/>
      <c r="M292" s="26"/>
      <c r="N292" s="26"/>
      <c r="O292" s="26"/>
      <c r="P292" s="26"/>
      <c r="Q292" s="320" t="str">
        <f>ข้อมูลทำเนียบ!B49</f>
        <v>ร.ต.อ.สัจจะ  สมกำลัง/จะ</v>
      </c>
      <c r="R292" s="320"/>
      <c r="S292" s="320"/>
      <c r="T292" s="321"/>
      <c r="V292" s="124"/>
      <c r="W292" s="47"/>
      <c r="X292" s="125"/>
      <c r="Y292" s="125"/>
    </row>
    <row r="293" spans="2:30" ht="12" customHeight="1">
      <c r="B293" s="27"/>
      <c r="C293" s="26"/>
      <c r="D293" s="25">
        <v>1</v>
      </c>
      <c r="E293" s="26"/>
      <c r="F293" s="26"/>
      <c r="G293" s="320"/>
      <c r="H293" s="320"/>
      <c r="I293" s="320"/>
      <c r="J293" s="321"/>
      <c r="L293" s="27"/>
      <c r="M293" s="26"/>
      <c r="N293" s="25">
        <v>1</v>
      </c>
      <c r="O293" s="26"/>
      <c r="P293" s="26"/>
      <c r="Q293" s="320"/>
      <c r="R293" s="320"/>
      <c r="S293" s="320"/>
      <c r="T293" s="321"/>
      <c r="V293" s="124"/>
      <c r="W293" s="47"/>
      <c r="X293" s="125"/>
      <c r="Y293" s="125"/>
    </row>
    <row r="294" spans="2:30" ht="12" customHeight="1">
      <c r="B294" s="24"/>
      <c r="C294" s="23"/>
      <c r="D294" s="322">
        <v>45</v>
      </c>
      <c r="E294" s="23"/>
      <c r="F294" s="23"/>
      <c r="G294" s="320"/>
      <c r="H294" s="320"/>
      <c r="I294" s="320"/>
      <c r="J294" s="321"/>
      <c r="L294" s="24"/>
      <c r="M294" s="23"/>
      <c r="N294" s="322">
        <v>46</v>
      </c>
      <c r="O294" s="23"/>
      <c r="P294" s="23"/>
      <c r="Q294" s="320"/>
      <c r="R294" s="320"/>
      <c r="S294" s="320"/>
      <c r="T294" s="321"/>
      <c r="V294" s="124"/>
      <c r="W294" s="47"/>
      <c r="X294" s="125"/>
      <c r="Y294" s="125"/>
    </row>
    <row r="295" spans="2:30" ht="12" customHeight="1">
      <c r="B295" s="24"/>
      <c r="C295" s="23"/>
      <c r="D295" s="323"/>
      <c r="E295" s="23"/>
      <c r="F295" s="23"/>
      <c r="G295" s="320"/>
      <c r="H295" s="320"/>
      <c r="I295" s="320"/>
      <c r="J295" s="321"/>
      <c r="L295" s="24"/>
      <c r="M295" s="23"/>
      <c r="N295" s="323"/>
      <c r="O295" s="23"/>
      <c r="P295" s="23"/>
      <c r="Q295" s="320"/>
      <c r="R295" s="320"/>
      <c r="S295" s="320"/>
      <c r="T295" s="321"/>
      <c r="V295" s="124"/>
      <c r="W295" s="47"/>
      <c r="X295" s="125"/>
      <c r="Y295" s="125"/>
    </row>
    <row r="296" spans="2:30" ht="12" customHeight="1">
      <c r="B296" s="24"/>
      <c r="C296" s="23"/>
      <c r="D296" s="25"/>
      <c r="E296" s="23"/>
      <c r="F296" s="23"/>
      <c r="G296" s="320"/>
      <c r="H296" s="320"/>
      <c r="I296" s="320"/>
      <c r="J296" s="321"/>
      <c r="L296" s="24"/>
      <c r="M296" s="23"/>
      <c r="N296" s="25"/>
      <c r="O296" s="23"/>
      <c r="P296" s="23"/>
      <c r="Q296" s="320"/>
      <c r="R296" s="320"/>
      <c r="S296" s="320"/>
      <c r="T296" s="321"/>
      <c r="V296" s="124"/>
      <c r="W296" s="47"/>
      <c r="X296" s="125"/>
      <c r="Y296" s="125"/>
    </row>
    <row r="297" spans="2:30" ht="6" customHeight="1">
      <c r="B297" s="24"/>
      <c r="C297" s="23"/>
      <c r="D297" s="23"/>
      <c r="E297" s="23"/>
      <c r="F297" s="23"/>
      <c r="G297" s="324" t="str">
        <f>ข้อมูลทำเนียบ!C48</f>
        <v>รอง สวป.สภ.อ่าวนาง ภ.จว.กระบี่</v>
      </c>
      <c r="H297" s="324"/>
      <c r="I297" s="324"/>
      <c r="J297" s="325"/>
      <c r="L297" s="24"/>
      <c r="M297" s="23"/>
      <c r="N297" s="23"/>
      <c r="O297" s="23"/>
      <c r="P297" s="23"/>
      <c r="Q297" s="324" t="str">
        <f>ข้อมูลทำเนียบ!C49</f>
        <v>รอง สว.สส.สภ.ทรายขาว ภ.จว.กระบี่</v>
      </c>
      <c r="R297" s="324"/>
      <c r="S297" s="324"/>
      <c r="T297" s="325"/>
      <c r="V297" s="124"/>
      <c r="W297" s="47"/>
      <c r="X297" s="125"/>
      <c r="Y297" s="125"/>
    </row>
    <row r="298" spans="2:30" ht="12" customHeight="1">
      <c r="B298" s="14"/>
      <c r="C298" s="22"/>
      <c r="D298" s="328" t="str">
        <f>ข้อมูลทำเนียบ!L48</f>
        <v>Rh.O</v>
      </c>
      <c r="E298" s="22"/>
      <c r="F298" s="22"/>
      <c r="G298" s="324"/>
      <c r="H298" s="324"/>
      <c r="I298" s="324"/>
      <c r="J298" s="325"/>
      <c r="L298" s="14"/>
      <c r="M298" s="22"/>
      <c r="N298" s="328" t="str">
        <f>ข้อมูลทำเนียบ!L49</f>
        <v>Rh.A</v>
      </c>
      <c r="O298" s="22"/>
      <c r="P298" s="22"/>
      <c r="Q298" s="324"/>
      <c r="R298" s="324"/>
      <c r="S298" s="324"/>
      <c r="T298" s="325"/>
      <c r="V298" s="125"/>
      <c r="W298" s="125"/>
      <c r="X298" s="125"/>
      <c r="Y298" s="125"/>
    </row>
    <row r="299" spans="2:30" ht="12" customHeight="1">
      <c r="B299" s="21"/>
      <c r="C299" s="20"/>
      <c r="D299" s="329"/>
      <c r="E299" s="20"/>
      <c r="F299" s="20"/>
      <c r="G299" s="324"/>
      <c r="H299" s="324"/>
      <c r="I299" s="324"/>
      <c r="J299" s="325"/>
      <c r="L299" s="21"/>
      <c r="M299" s="20"/>
      <c r="N299" s="329"/>
      <c r="O299" s="20"/>
      <c r="P299" s="20"/>
      <c r="Q299" s="324"/>
      <c r="R299" s="324"/>
      <c r="S299" s="324"/>
      <c r="T299" s="325"/>
      <c r="V299" s="125"/>
      <c r="W299" s="125"/>
      <c r="X299" s="125"/>
      <c r="Y299" s="125"/>
    </row>
    <row r="300" spans="2:30" ht="12" customHeight="1">
      <c r="B300" s="21"/>
      <c r="C300" s="20"/>
      <c r="D300" s="330"/>
      <c r="E300" s="20"/>
      <c r="F300" s="20"/>
      <c r="G300" s="324"/>
      <c r="H300" s="324"/>
      <c r="I300" s="324"/>
      <c r="J300" s="325"/>
      <c r="L300" s="21"/>
      <c r="M300" s="20"/>
      <c r="N300" s="330"/>
      <c r="O300" s="20"/>
      <c r="P300" s="20"/>
      <c r="Q300" s="324"/>
      <c r="R300" s="324"/>
      <c r="S300" s="324"/>
      <c r="T300" s="325"/>
      <c r="V300" s="125"/>
      <c r="W300" s="125"/>
      <c r="X300" s="125"/>
      <c r="Y300" s="125"/>
    </row>
    <row r="301" spans="2:30" ht="6" customHeight="1" thickBot="1">
      <c r="B301" s="19"/>
      <c r="C301" s="18"/>
      <c r="D301" s="18"/>
      <c r="E301" s="18"/>
      <c r="F301" s="18"/>
      <c r="G301" s="326"/>
      <c r="H301" s="326"/>
      <c r="I301" s="326"/>
      <c r="J301" s="327"/>
      <c r="L301" s="19"/>
      <c r="M301" s="18"/>
      <c r="N301" s="18"/>
      <c r="O301" s="18"/>
      <c r="P301" s="18"/>
      <c r="Q301" s="326"/>
      <c r="R301" s="326"/>
      <c r="S301" s="326"/>
      <c r="T301" s="327"/>
      <c r="V301" s="125"/>
      <c r="W301" s="125"/>
      <c r="X301" s="125"/>
      <c r="Y301" s="125"/>
    </row>
    <row r="302" spans="2:30" ht="3.75" customHeight="1" thickTop="1" thickBot="1"/>
    <row r="303" spans="2:30" s="259" customFormat="1" ht="39" thickTop="1">
      <c r="B303" s="257"/>
      <c r="C303" s="258"/>
      <c r="D303" s="258"/>
      <c r="E303" s="258"/>
      <c r="F303" s="258"/>
      <c r="G303" s="316" t="str">
        <f>G55</f>
        <v>ปรับพื้นฐานยุทธวิธีตำรวจระดับครูฝึก(สัญญาบัตร) รุ่นที่2</v>
      </c>
      <c r="H303" s="316"/>
      <c r="I303" s="316"/>
      <c r="J303" s="317"/>
      <c r="L303" s="257"/>
      <c r="M303" s="258"/>
      <c r="N303" s="258"/>
      <c r="O303" s="258"/>
      <c r="P303" s="258"/>
      <c r="Q303" s="316" t="str">
        <f>Q290</f>
        <v>ปรับพื้นฐานยุทธวิธีตำรวจระดับครูฝึก(สัญญาบัตร) รุ่นที่2</v>
      </c>
      <c r="R303" s="316"/>
      <c r="S303" s="316"/>
      <c r="T303" s="317"/>
      <c r="U303" s="264"/>
      <c r="V303" s="264"/>
      <c r="W303" s="264"/>
      <c r="X303" s="264"/>
      <c r="Y303" s="264"/>
      <c r="Z303" s="264"/>
      <c r="AA303" s="264"/>
      <c r="AB303" s="264"/>
      <c r="AC303" s="264"/>
      <c r="AD303" s="264"/>
    </row>
    <row r="304" spans="2:30" s="262" customFormat="1" ht="16.5" customHeight="1">
      <c r="B304" s="260"/>
      <c r="C304" s="261"/>
      <c r="D304" s="261"/>
      <c r="E304" s="261"/>
      <c r="F304" s="261"/>
      <c r="G304" s="318" t="str">
        <f>G56</f>
        <v xml:space="preserve"> ประจำปีงบประมาณ 2562</v>
      </c>
      <c r="H304" s="318"/>
      <c r="I304" s="318"/>
      <c r="J304" s="319"/>
      <c r="L304" s="260"/>
      <c r="M304" s="261"/>
      <c r="N304" s="261"/>
      <c r="O304" s="261"/>
      <c r="P304" s="261"/>
      <c r="Q304" s="318" t="str">
        <f>Q291</f>
        <v xml:space="preserve"> ประจำปีงบประมาณ 2562</v>
      </c>
      <c r="R304" s="318"/>
      <c r="S304" s="318"/>
      <c r="T304" s="319"/>
      <c r="U304" s="265"/>
      <c r="V304" s="266"/>
      <c r="W304" s="266"/>
      <c r="X304" s="266"/>
      <c r="Y304" s="266"/>
      <c r="Z304" s="265"/>
      <c r="AA304" s="265"/>
      <c r="AB304" s="265"/>
      <c r="AC304" s="265"/>
      <c r="AD304" s="265"/>
    </row>
    <row r="305" spans="2:30" ht="6" customHeight="1">
      <c r="B305" s="27"/>
      <c r="C305" s="26"/>
      <c r="D305" s="26"/>
      <c r="E305" s="26"/>
      <c r="F305" s="26"/>
      <c r="G305" s="320" t="str">
        <f>ข้อมูลทำเนียบ!B50</f>
        <v>ร.ต.อ.สุวิศิษฏ์  คีรีรักษ์/เอก</v>
      </c>
      <c r="H305" s="320"/>
      <c r="I305" s="320"/>
      <c r="J305" s="321"/>
      <c r="L305" s="27"/>
      <c r="M305" s="26"/>
      <c r="N305" s="26"/>
      <c r="O305" s="26"/>
      <c r="P305" s="26"/>
      <c r="Q305" s="320" t="str">
        <f>ข้อมูลทำเนียบ!B51</f>
        <v>ร.ต.อ.อภิเชษฐ์  คีรีเพ็ชร/เชษฐ์</v>
      </c>
      <c r="R305" s="320"/>
      <c r="S305" s="320"/>
      <c r="T305" s="321"/>
      <c r="V305" s="124"/>
      <c r="W305" s="47"/>
      <c r="X305" s="125"/>
      <c r="Y305" s="125"/>
    </row>
    <row r="306" spans="2:30" ht="12" customHeight="1">
      <c r="B306" s="27"/>
      <c r="C306" s="26"/>
      <c r="D306" s="25">
        <v>1</v>
      </c>
      <c r="E306" s="26"/>
      <c r="F306" s="26"/>
      <c r="G306" s="320"/>
      <c r="H306" s="320"/>
      <c r="I306" s="320"/>
      <c r="J306" s="321"/>
      <c r="L306" s="27"/>
      <c r="M306" s="26"/>
      <c r="N306" s="25">
        <v>1</v>
      </c>
      <c r="O306" s="26"/>
      <c r="P306" s="26"/>
      <c r="Q306" s="320"/>
      <c r="R306" s="320"/>
      <c r="S306" s="320"/>
      <c r="T306" s="321"/>
      <c r="V306" s="124"/>
      <c r="W306" s="47"/>
      <c r="X306" s="125"/>
      <c r="Y306" s="125"/>
    </row>
    <row r="307" spans="2:30" ht="12" customHeight="1">
      <c r="B307" s="24"/>
      <c r="C307" s="23"/>
      <c r="D307" s="322">
        <v>47</v>
      </c>
      <c r="E307" s="23"/>
      <c r="F307" s="23"/>
      <c r="G307" s="320"/>
      <c r="H307" s="320"/>
      <c r="I307" s="320"/>
      <c r="J307" s="321"/>
      <c r="L307" s="24"/>
      <c r="M307" s="23"/>
      <c r="N307" s="322">
        <v>48</v>
      </c>
      <c r="O307" s="23"/>
      <c r="P307" s="23"/>
      <c r="Q307" s="320"/>
      <c r="R307" s="320"/>
      <c r="S307" s="320"/>
      <c r="T307" s="321"/>
      <c r="V307" s="124"/>
      <c r="W307" s="47"/>
      <c r="X307" s="125"/>
      <c r="Y307" s="125"/>
    </row>
    <row r="308" spans="2:30" ht="12" customHeight="1">
      <c r="B308" s="24"/>
      <c r="C308" s="23"/>
      <c r="D308" s="323"/>
      <c r="E308" s="23"/>
      <c r="F308" s="23"/>
      <c r="G308" s="320"/>
      <c r="H308" s="320"/>
      <c r="I308" s="320"/>
      <c r="J308" s="321"/>
      <c r="L308" s="24"/>
      <c r="M308" s="23"/>
      <c r="N308" s="323"/>
      <c r="O308" s="23"/>
      <c r="P308" s="23"/>
      <c r="Q308" s="320"/>
      <c r="R308" s="320"/>
      <c r="S308" s="320"/>
      <c r="T308" s="321"/>
      <c r="V308" s="124"/>
      <c r="W308" s="47"/>
      <c r="X308" s="125"/>
      <c r="Y308" s="125"/>
    </row>
    <row r="309" spans="2:30" ht="9" customHeight="1">
      <c r="B309" s="24"/>
      <c r="C309" s="23"/>
      <c r="D309" s="25"/>
      <c r="E309" s="23"/>
      <c r="F309" s="23"/>
      <c r="G309" s="320"/>
      <c r="H309" s="320"/>
      <c r="I309" s="320"/>
      <c r="J309" s="321"/>
      <c r="L309" s="24"/>
      <c r="M309" s="23"/>
      <c r="N309" s="25"/>
      <c r="O309" s="23"/>
      <c r="P309" s="23"/>
      <c r="Q309" s="320"/>
      <c r="R309" s="320"/>
      <c r="S309" s="320"/>
      <c r="T309" s="321"/>
      <c r="V309" s="124"/>
      <c r="W309" s="47"/>
      <c r="X309" s="125"/>
      <c r="Y309" s="125"/>
    </row>
    <row r="310" spans="2:30" ht="6" customHeight="1">
      <c r="B310" s="24"/>
      <c r="C310" s="23"/>
      <c r="D310" s="23"/>
      <c r="E310" s="23"/>
      <c r="F310" s="23"/>
      <c r="G310" s="324" t="str">
        <f>ข้อมูลทำเนียบ!C50</f>
        <v>รอง สวป.สภ.ป่าตอง ภ.จว.ภูเก็ต</v>
      </c>
      <c r="H310" s="324"/>
      <c r="I310" s="324"/>
      <c r="J310" s="325"/>
      <c r="L310" s="24"/>
      <c r="M310" s="23"/>
      <c r="N310" s="23"/>
      <c r="O310" s="23"/>
      <c r="P310" s="23"/>
      <c r="Q310" s="324" t="str">
        <f>ข้อมูลทำเนียบ!C51</f>
        <v>รอง สวป.สภ.หลังสวน ภ.จว.ชุมพร</v>
      </c>
      <c r="R310" s="324"/>
      <c r="S310" s="324"/>
      <c r="T310" s="325"/>
      <c r="V310" s="124"/>
      <c r="W310" s="47"/>
      <c r="X310" s="125"/>
      <c r="Y310" s="125"/>
    </row>
    <row r="311" spans="2:30" ht="12" customHeight="1">
      <c r="B311" s="14"/>
      <c r="C311" s="22"/>
      <c r="D311" s="328" t="str">
        <f>ข้อมูลทำเนียบ!L50</f>
        <v>Rh.O</v>
      </c>
      <c r="E311" s="22"/>
      <c r="F311" s="22"/>
      <c r="G311" s="324"/>
      <c r="H311" s="324"/>
      <c r="I311" s="324"/>
      <c r="J311" s="325"/>
      <c r="L311" s="14"/>
      <c r="M311" s="22"/>
      <c r="N311" s="328" t="str">
        <f>ข้อมูลทำเนียบ!L51</f>
        <v>Rh.A</v>
      </c>
      <c r="O311" s="22"/>
      <c r="P311" s="22"/>
      <c r="Q311" s="324"/>
      <c r="R311" s="324"/>
      <c r="S311" s="324"/>
      <c r="T311" s="325"/>
      <c r="V311" s="125"/>
      <c r="W311" s="125"/>
      <c r="X311" s="125"/>
      <c r="Y311" s="125"/>
    </row>
    <row r="312" spans="2:30" ht="12" customHeight="1">
      <c r="B312" s="21"/>
      <c r="C312" s="20"/>
      <c r="D312" s="329"/>
      <c r="E312" s="20"/>
      <c r="F312" s="20"/>
      <c r="G312" s="324"/>
      <c r="H312" s="324"/>
      <c r="I312" s="324"/>
      <c r="J312" s="325"/>
      <c r="L312" s="21"/>
      <c r="M312" s="20"/>
      <c r="N312" s="329"/>
      <c r="O312" s="20"/>
      <c r="P312" s="20"/>
      <c r="Q312" s="324"/>
      <c r="R312" s="324"/>
      <c r="S312" s="324"/>
      <c r="T312" s="325"/>
      <c r="V312" s="125"/>
      <c r="W312" s="125"/>
      <c r="X312" s="125"/>
      <c r="Y312" s="125"/>
    </row>
    <row r="313" spans="2:30" ht="12" customHeight="1">
      <c r="B313" s="21"/>
      <c r="C313" s="20"/>
      <c r="D313" s="330"/>
      <c r="E313" s="20"/>
      <c r="F313" s="20"/>
      <c r="G313" s="324"/>
      <c r="H313" s="324"/>
      <c r="I313" s="324"/>
      <c r="J313" s="325"/>
      <c r="L313" s="21"/>
      <c r="M313" s="20"/>
      <c r="N313" s="330"/>
      <c r="O313" s="20"/>
      <c r="P313" s="20"/>
      <c r="Q313" s="324"/>
      <c r="R313" s="324"/>
      <c r="S313" s="324"/>
      <c r="T313" s="325"/>
      <c r="V313" s="125"/>
      <c r="W313" s="125"/>
      <c r="X313" s="125"/>
      <c r="Y313" s="125"/>
    </row>
    <row r="314" spans="2:30" ht="6" customHeight="1" thickBot="1">
      <c r="B314" s="19"/>
      <c r="C314" s="18"/>
      <c r="D314" s="18"/>
      <c r="E314" s="18"/>
      <c r="F314" s="18"/>
      <c r="G314" s="326"/>
      <c r="H314" s="326"/>
      <c r="I314" s="326"/>
      <c r="J314" s="327"/>
      <c r="L314" s="19"/>
      <c r="M314" s="18"/>
      <c r="N314" s="18"/>
      <c r="O314" s="18"/>
      <c r="P314" s="18"/>
      <c r="Q314" s="326"/>
      <c r="R314" s="326"/>
      <c r="S314" s="326"/>
      <c r="T314" s="327"/>
      <c r="V314" s="125"/>
      <c r="W314" s="125"/>
      <c r="X314" s="125"/>
      <c r="Y314" s="125"/>
    </row>
    <row r="315" spans="2:30" ht="3.75" customHeight="1" thickTop="1" thickBot="1"/>
    <row r="316" spans="2:30" s="259" customFormat="1" ht="39" thickTop="1">
      <c r="B316" s="257"/>
      <c r="C316" s="258"/>
      <c r="D316" s="258"/>
      <c r="E316" s="258"/>
      <c r="F316" s="258"/>
      <c r="G316" s="316" t="str">
        <f>G303</f>
        <v>ปรับพื้นฐานยุทธวิธีตำรวจระดับครูฝึก(สัญญาบัตร) รุ่นที่2</v>
      </c>
      <c r="H316" s="316"/>
      <c r="I316" s="316"/>
      <c r="J316" s="317"/>
      <c r="L316" s="257"/>
      <c r="M316" s="258"/>
      <c r="N316" s="258"/>
      <c r="O316" s="258"/>
      <c r="P316" s="258"/>
      <c r="Q316" s="316" t="str">
        <f>Q303</f>
        <v>ปรับพื้นฐานยุทธวิธีตำรวจระดับครูฝึก(สัญญาบัตร) รุ่นที่2</v>
      </c>
      <c r="R316" s="316"/>
      <c r="S316" s="316"/>
      <c r="T316" s="317"/>
      <c r="U316" s="264"/>
      <c r="V316" s="264"/>
      <c r="W316" s="264"/>
      <c r="X316" s="264"/>
      <c r="Y316" s="264"/>
      <c r="Z316" s="264"/>
      <c r="AA316" s="264"/>
      <c r="AB316" s="264"/>
      <c r="AC316" s="264"/>
      <c r="AD316" s="264"/>
    </row>
    <row r="317" spans="2:30" s="262" customFormat="1" ht="16.5" customHeight="1">
      <c r="B317" s="260"/>
      <c r="C317" s="261"/>
      <c r="D317" s="261"/>
      <c r="E317" s="261"/>
      <c r="F317" s="261"/>
      <c r="G317" s="318" t="str">
        <f>G304</f>
        <v xml:space="preserve"> ประจำปีงบประมาณ 2562</v>
      </c>
      <c r="H317" s="318"/>
      <c r="I317" s="318"/>
      <c r="J317" s="319"/>
      <c r="L317" s="260"/>
      <c r="M317" s="261"/>
      <c r="N317" s="261"/>
      <c r="O317" s="261"/>
      <c r="P317" s="261"/>
      <c r="Q317" s="318" t="str">
        <f>Q304</f>
        <v xml:space="preserve"> ประจำปีงบประมาณ 2562</v>
      </c>
      <c r="R317" s="318"/>
      <c r="S317" s="318"/>
      <c r="T317" s="319"/>
      <c r="U317" s="265"/>
      <c r="V317" s="266"/>
      <c r="W317" s="266"/>
      <c r="X317" s="266"/>
      <c r="Y317" s="266"/>
      <c r="Z317" s="265"/>
      <c r="AA317" s="265"/>
      <c r="AB317" s="265"/>
      <c r="AC317" s="265"/>
      <c r="AD317" s="265"/>
    </row>
    <row r="318" spans="2:30" ht="6" customHeight="1">
      <c r="B318" s="27"/>
      <c r="C318" s="26"/>
      <c r="D318" s="26"/>
      <c r="E318" s="26"/>
      <c r="F318" s="26"/>
      <c r="G318" s="320" t="str">
        <f>ข้อมูลทำเนียบ!B52</f>
        <v>ร.ต.อ.อนุรัตน์  ศรีมาลา/ตู่</v>
      </c>
      <c r="H318" s="320"/>
      <c r="I318" s="320"/>
      <c r="J318" s="321"/>
      <c r="L318" s="27"/>
      <c r="M318" s="26"/>
      <c r="N318" s="26"/>
      <c r="O318" s="26"/>
      <c r="P318" s="26"/>
      <c r="Q318" s="320" t="str">
        <f>ข้อมูลทำเนียบ!B53</f>
        <v>ร.ต.อ.ธัชพล  มณีแสง/ธัช</v>
      </c>
      <c r="R318" s="320"/>
      <c r="S318" s="320"/>
      <c r="T318" s="321"/>
      <c r="V318" s="124"/>
      <c r="W318" s="47"/>
      <c r="X318" s="125"/>
      <c r="Y318" s="125"/>
    </row>
    <row r="319" spans="2:30" ht="12" customHeight="1">
      <c r="B319" s="27"/>
      <c r="C319" s="26"/>
      <c r="D319" s="25">
        <v>1</v>
      </c>
      <c r="E319" s="26"/>
      <c r="F319" s="26"/>
      <c r="G319" s="320"/>
      <c r="H319" s="320"/>
      <c r="I319" s="320"/>
      <c r="J319" s="321"/>
      <c r="L319" s="27"/>
      <c r="M319" s="26"/>
      <c r="N319" s="25">
        <v>1</v>
      </c>
      <c r="O319" s="26"/>
      <c r="P319" s="26"/>
      <c r="Q319" s="320"/>
      <c r="R319" s="320"/>
      <c r="S319" s="320"/>
      <c r="T319" s="321"/>
      <c r="V319" s="124"/>
      <c r="W319" s="47"/>
      <c r="X319" s="125"/>
      <c r="Y319" s="125"/>
    </row>
    <row r="320" spans="2:30" ht="12" customHeight="1">
      <c r="B320" s="24"/>
      <c r="C320" s="23"/>
      <c r="D320" s="322">
        <v>49</v>
      </c>
      <c r="E320" s="23"/>
      <c r="F320" s="23"/>
      <c r="G320" s="320"/>
      <c r="H320" s="320"/>
      <c r="I320" s="320"/>
      <c r="J320" s="321"/>
      <c r="L320" s="24"/>
      <c r="M320" s="23"/>
      <c r="N320" s="322">
        <v>50</v>
      </c>
      <c r="O320" s="23"/>
      <c r="P320" s="23"/>
      <c r="Q320" s="320"/>
      <c r="R320" s="320"/>
      <c r="S320" s="320"/>
      <c r="T320" s="321"/>
      <c r="V320" s="124"/>
      <c r="W320" s="47"/>
      <c r="X320" s="125"/>
      <c r="Y320" s="125"/>
    </row>
    <row r="321" spans="2:25" ht="12" customHeight="1">
      <c r="B321" s="24"/>
      <c r="C321" s="23"/>
      <c r="D321" s="323"/>
      <c r="E321" s="23"/>
      <c r="F321" s="23"/>
      <c r="G321" s="320"/>
      <c r="H321" s="320"/>
      <c r="I321" s="320"/>
      <c r="J321" s="321"/>
      <c r="L321" s="24"/>
      <c r="M321" s="23"/>
      <c r="N321" s="323"/>
      <c r="O321" s="23"/>
      <c r="P321" s="23"/>
      <c r="Q321" s="320"/>
      <c r="R321" s="320"/>
      <c r="S321" s="320"/>
      <c r="T321" s="321"/>
      <c r="V321" s="124"/>
      <c r="W321" s="47"/>
      <c r="X321" s="125"/>
      <c r="Y321" s="125"/>
    </row>
    <row r="322" spans="2:25" ht="9" customHeight="1">
      <c r="B322" s="24"/>
      <c r="C322" s="23"/>
      <c r="D322" s="25"/>
      <c r="E322" s="23"/>
      <c r="F322" s="23"/>
      <c r="G322" s="320"/>
      <c r="H322" s="320"/>
      <c r="I322" s="320"/>
      <c r="J322" s="321"/>
      <c r="L322" s="24"/>
      <c r="M322" s="23"/>
      <c r="N322" s="25"/>
      <c r="O322" s="23"/>
      <c r="P322" s="23"/>
      <c r="Q322" s="320"/>
      <c r="R322" s="320"/>
      <c r="S322" s="320"/>
      <c r="T322" s="321"/>
      <c r="V322" s="124"/>
      <c r="W322" s="47"/>
      <c r="X322" s="125"/>
      <c r="Y322" s="125"/>
    </row>
    <row r="323" spans="2:25" ht="6" customHeight="1">
      <c r="B323" s="24"/>
      <c r="C323" s="23"/>
      <c r="D323" s="23"/>
      <c r="E323" s="23"/>
      <c r="F323" s="23"/>
      <c r="G323" s="324" t="str">
        <f>ข้อมูลทำเนียบ!C52</f>
        <v>รอง สวป.สภ.ท่าแซะ ภ.จว.ชุมพร</v>
      </c>
      <c r="H323" s="324"/>
      <c r="I323" s="324"/>
      <c r="J323" s="325"/>
      <c r="L323" s="24"/>
      <c r="M323" s="23"/>
      <c r="N323" s="23"/>
      <c r="O323" s="23"/>
      <c r="P323" s="23"/>
      <c r="Q323" s="324" t="str">
        <f>ข้อมูลทำเนียบ!C53</f>
        <v>รอง สว.ศูนย์ฝึกยุทธวิธีตำรวจ บก.ฝรก.</v>
      </c>
      <c r="R323" s="324"/>
      <c r="S323" s="324"/>
      <c r="T323" s="325"/>
      <c r="V323" s="124"/>
      <c r="W323" s="47"/>
      <c r="X323" s="125"/>
      <c r="Y323" s="125"/>
    </row>
    <row r="324" spans="2:25" ht="12" customHeight="1">
      <c r="B324" s="14"/>
      <c r="C324" s="22"/>
      <c r="D324" s="328" t="str">
        <f>ข้อมูลทำเนียบ!L52</f>
        <v>Rh.O</v>
      </c>
      <c r="E324" s="22"/>
      <c r="F324" s="22"/>
      <c r="G324" s="324"/>
      <c r="H324" s="324"/>
      <c r="I324" s="324"/>
      <c r="J324" s="325"/>
      <c r="L324" s="14"/>
      <c r="M324" s="22"/>
      <c r="N324" s="328" t="str">
        <f>ข้อมูลทำเนียบ!L53</f>
        <v>Rh.</v>
      </c>
      <c r="O324" s="22"/>
      <c r="P324" s="22"/>
      <c r="Q324" s="324"/>
      <c r="R324" s="324"/>
      <c r="S324" s="324"/>
      <c r="T324" s="325"/>
      <c r="V324" s="125"/>
      <c r="W324" s="125"/>
      <c r="X324" s="125"/>
      <c r="Y324" s="125"/>
    </row>
    <row r="325" spans="2:25" ht="12" customHeight="1">
      <c r="B325" s="21"/>
      <c r="C325" s="20"/>
      <c r="D325" s="329"/>
      <c r="E325" s="20"/>
      <c r="F325" s="20"/>
      <c r="G325" s="324"/>
      <c r="H325" s="324"/>
      <c r="I325" s="324"/>
      <c r="J325" s="325"/>
      <c r="L325" s="21"/>
      <c r="M325" s="20"/>
      <c r="N325" s="329"/>
      <c r="O325" s="20"/>
      <c r="P325" s="20"/>
      <c r="Q325" s="324"/>
      <c r="R325" s="324"/>
      <c r="S325" s="324"/>
      <c r="T325" s="325"/>
      <c r="V325" s="125"/>
      <c r="W325" s="125"/>
      <c r="X325" s="125"/>
      <c r="Y325" s="125"/>
    </row>
    <row r="326" spans="2:25" ht="12" customHeight="1">
      <c r="B326" s="21"/>
      <c r="C326" s="20"/>
      <c r="D326" s="330"/>
      <c r="E326" s="20"/>
      <c r="F326" s="20"/>
      <c r="G326" s="324"/>
      <c r="H326" s="324"/>
      <c r="I326" s="324"/>
      <c r="J326" s="325"/>
      <c r="L326" s="21"/>
      <c r="M326" s="20"/>
      <c r="N326" s="330"/>
      <c r="O326" s="20"/>
      <c r="P326" s="20"/>
      <c r="Q326" s="324"/>
      <c r="R326" s="324"/>
      <c r="S326" s="324"/>
      <c r="T326" s="325"/>
      <c r="V326" s="125"/>
      <c r="W326" s="125"/>
      <c r="X326" s="125"/>
      <c r="Y326" s="125"/>
    </row>
    <row r="327" spans="2:25" ht="6" customHeight="1" thickBot="1">
      <c r="B327" s="19"/>
      <c r="C327" s="18"/>
      <c r="D327" s="18"/>
      <c r="E327" s="18"/>
      <c r="F327" s="18"/>
      <c r="G327" s="326"/>
      <c r="H327" s="326"/>
      <c r="I327" s="326"/>
      <c r="J327" s="327"/>
      <c r="L327" s="19"/>
      <c r="M327" s="18"/>
      <c r="N327" s="18"/>
      <c r="O327" s="18"/>
      <c r="P327" s="18"/>
      <c r="Q327" s="326"/>
      <c r="R327" s="326"/>
      <c r="S327" s="326"/>
      <c r="T327" s="327"/>
      <c r="V327" s="125"/>
      <c r="W327" s="125"/>
      <c r="X327" s="125"/>
      <c r="Y327" s="125"/>
    </row>
    <row r="328" spans="2:25" ht="15.75" thickTop="1"/>
  </sheetData>
  <mergeCells count="300">
    <mergeCell ref="G252:J252"/>
    <mergeCell ref="Q252:T252"/>
    <mergeCell ref="G253:J257"/>
    <mergeCell ref="Q253:T257"/>
    <mergeCell ref="D255:D256"/>
    <mergeCell ref="N255:N256"/>
    <mergeCell ref="G258:J262"/>
    <mergeCell ref="Q258:T262"/>
    <mergeCell ref="D259:D261"/>
    <mergeCell ref="N259:N261"/>
    <mergeCell ref="G245:J249"/>
    <mergeCell ref="Q245:T249"/>
    <mergeCell ref="D246:D248"/>
    <mergeCell ref="N246:N248"/>
    <mergeCell ref="G251:J251"/>
    <mergeCell ref="Q251:T251"/>
    <mergeCell ref="G239:J239"/>
    <mergeCell ref="Q239:T239"/>
    <mergeCell ref="G240:J244"/>
    <mergeCell ref="Q240:T244"/>
    <mergeCell ref="D242:D243"/>
    <mergeCell ref="N242:N243"/>
    <mergeCell ref="G232:J236"/>
    <mergeCell ref="Q232:T236"/>
    <mergeCell ref="D233:D235"/>
    <mergeCell ref="N233:N235"/>
    <mergeCell ref="G238:J238"/>
    <mergeCell ref="Q238:T238"/>
    <mergeCell ref="G225:J225"/>
    <mergeCell ref="Q225:T225"/>
    <mergeCell ref="G226:J231"/>
    <mergeCell ref="Q226:T231"/>
    <mergeCell ref="D228:D229"/>
    <mergeCell ref="N228:N229"/>
    <mergeCell ref="G218:J222"/>
    <mergeCell ref="Q218:T222"/>
    <mergeCell ref="D219:D221"/>
    <mergeCell ref="N219:N221"/>
    <mergeCell ref="G224:J224"/>
    <mergeCell ref="Q224:T224"/>
    <mergeCell ref="G211:J211"/>
    <mergeCell ref="Q211:T211"/>
    <mergeCell ref="G212:J217"/>
    <mergeCell ref="Q212:T217"/>
    <mergeCell ref="D214:D215"/>
    <mergeCell ref="N214:N215"/>
    <mergeCell ref="G204:J208"/>
    <mergeCell ref="Q204:T208"/>
    <mergeCell ref="D205:D207"/>
    <mergeCell ref="N205:N207"/>
    <mergeCell ref="G210:J210"/>
    <mergeCell ref="Q210:T210"/>
    <mergeCell ref="G197:J197"/>
    <mergeCell ref="Q197:T197"/>
    <mergeCell ref="G198:J203"/>
    <mergeCell ref="Q198:T203"/>
    <mergeCell ref="D200:D201"/>
    <mergeCell ref="N200:N201"/>
    <mergeCell ref="G191:J195"/>
    <mergeCell ref="Q191:T195"/>
    <mergeCell ref="D192:D194"/>
    <mergeCell ref="N192:N194"/>
    <mergeCell ref="G196:J196"/>
    <mergeCell ref="Q196:T196"/>
    <mergeCell ref="Q178:T182"/>
    <mergeCell ref="G178:J182"/>
    <mergeCell ref="G173:J177"/>
    <mergeCell ref="Q173:T177"/>
    <mergeCell ref="D175:D176"/>
    <mergeCell ref="N175:N176"/>
    <mergeCell ref="D179:D181"/>
    <mergeCell ref="N179:N181"/>
    <mergeCell ref="G172:J172"/>
    <mergeCell ref="Q172:T172"/>
    <mergeCell ref="G186:J190"/>
    <mergeCell ref="Q186:T190"/>
    <mergeCell ref="D188:D189"/>
    <mergeCell ref="N188:N189"/>
    <mergeCell ref="G184:J184"/>
    <mergeCell ref="Q184:T184"/>
    <mergeCell ref="G185:J185"/>
    <mergeCell ref="Q185:T185"/>
    <mergeCell ref="D162:D163"/>
    <mergeCell ref="G165:J169"/>
    <mergeCell ref="Q165:T169"/>
    <mergeCell ref="D166:D168"/>
    <mergeCell ref="N166:N168"/>
    <mergeCell ref="G171:J171"/>
    <mergeCell ref="Q171:T171"/>
    <mergeCell ref="N162:N163"/>
    <mergeCell ref="G158:J158"/>
    <mergeCell ref="Q158:T158"/>
    <mergeCell ref="G159:J159"/>
    <mergeCell ref="Q159:T159"/>
    <mergeCell ref="G160:J164"/>
    <mergeCell ref="Q160:T164"/>
    <mergeCell ref="G146:J146"/>
    <mergeCell ref="Q146:T146"/>
    <mergeCell ref="G147:J151"/>
    <mergeCell ref="Q147:T151"/>
    <mergeCell ref="D149:D150"/>
    <mergeCell ref="N149:N150"/>
    <mergeCell ref="G139:J143"/>
    <mergeCell ref="Q139:T143"/>
    <mergeCell ref="D140:D142"/>
    <mergeCell ref="N140:N142"/>
    <mergeCell ref="G145:J145"/>
    <mergeCell ref="Q145:T145"/>
    <mergeCell ref="G133:J133"/>
    <mergeCell ref="Q133:T133"/>
    <mergeCell ref="G134:J138"/>
    <mergeCell ref="Q134:T138"/>
    <mergeCell ref="D136:D137"/>
    <mergeCell ref="N136:N137"/>
    <mergeCell ref="G127:J131"/>
    <mergeCell ref="Q127:T131"/>
    <mergeCell ref="D128:D130"/>
    <mergeCell ref="N128:N130"/>
    <mergeCell ref="G132:J132"/>
    <mergeCell ref="Q132:T132"/>
    <mergeCell ref="G121:J121"/>
    <mergeCell ref="Q121:T121"/>
    <mergeCell ref="G122:J126"/>
    <mergeCell ref="Q122:T126"/>
    <mergeCell ref="D124:D125"/>
    <mergeCell ref="N124:N125"/>
    <mergeCell ref="G114:J118"/>
    <mergeCell ref="Q114:T118"/>
    <mergeCell ref="D115:D117"/>
    <mergeCell ref="N115:N117"/>
    <mergeCell ref="G120:J120"/>
    <mergeCell ref="Q120:T120"/>
    <mergeCell ref="G108:J108"/>
    <mergeCell ref="Q108:T108"/>
    <mergeCell ref="G109:J113"/>
    <mergeCell ref="Q109:T113"/>
    <mergeCell ref="D111:D112"/>
    <mergeCell ref="N111:N112"/>
    <mergeCell ref="G101:J105"/>
    <mergeCell ref="Q101:T105"/>
    <mergeCell ref="D102:D104"/>
    <mergeCell ref="N102:N104"/>
    <mergeCell ref="Q88:T92"/>
    <mergeCell ref="D89:D91"/>
    <mergeCell ref="N89:N91"/>
    <mergeCell ref="G81:J81"/>
    <mergeCell ref="G82:J82"/>
    <mergeCell ref="G94:J94"/>
    <mergeCell ref="G107:J107"/>
    <mergeCell ref="Q107:T107"/>
    <mergeCell ref="G83:J87"/>
    <mergeCell ref="D85:D86"/>
    <mergeCell ref="Q94:T94"/>
    <mergeCell ref="G95:J95"/>
    <mergeCell ref="Q95:T95"/>
    <mergeCell ref="G96:J100"/>
    <mergeCell ref="Q96:T100"/>
    <mergeCell ref="D98:D99"/>
    <mergeCell ref="N98:N99"/>
    <mergeCell ref="Q30:T34"/>
    <mergeCell ref="N32:N33"/>
    <mergeCell ref="N6:N7"/>
    <mergeCell ref="Q55:T55"/>
    <mergeCell ref="Q69:T69"/>
    <mergeCell ref="G75:J79"/>
    <mergeCell ref="Q75:T79"/>
    <mergeCell ref="D76:D78"/>
    <mergeCell ref="N76:N78"/>
    <mergeCell ref="Q35:T39"/>
    <mergeCell ref="N36:N38"/>
    <mergeCell ref="Q41:T41"/>
    <mergeCell ref="Q42:T42"/>
    <mergeCell ref="Q43:T48"/>
    <mergeCell ref="N45:N46"/>
    <mergeCell ref="Q56:T56"/>
    <mergeCell ref="D45:D46"/>
    <mergeCell ref="G49:J53"/>
    <mergeCell ref="D50:D52"/>
    <mergeCell ref="G56:J56"/>
    <mergeCell ref="D6:D7"/>
    <mergeCell ref="D19:D20"/>
    <mergeCell ref="D10:D12"/>
    <mergeCell ref="G35:J39"/>
    <mergeCell ref="Q2:T2"/>
    <mergeCell ref="Q3:T3"/>
    <mergeCell ref="G15:J15"/>
    <mergeCell ref="Q15:T15"/>
    <mergeCell ref="G16:J16"/>
    <mergeCell ref="Q16:T16"/>
    <mergeCell ref="G17:J21"/>
    <mergeCell ref="Q49:T53"/>
    <mergeCell ref="N50:N52"/>
    <mergeCell ref="Q22:T26"/>
    <mergeCell ref="N23:N25"/>
    <mergeCell ref="G28:J28"/>
    <mergeCell ref="Q28:T28"/>
    <mergeCell ref="G29:J29"/>
    <mergeCell ref="Q29:T29"/>
    <mergeCell ref="G30:J34"/>
    <mergeCell ref="G22:J26"/>
    <mergeCell ref="G2:J2"/>
    <mergeCell ref="G3:J3"/>
    <mergeCell ref="Q17:T21"/>
    <mergeCell ref="N19:N20"/>
    <mergeCell ref="Q4:T8"/>
    <mergeCell ref="Q9:T13"/>
    <mergeCell ref="N10:N12"/>
    <mergeCell ref="D153:D155"/>
    <mergeCell ref="N153:N155"/>
    <mergeCell ref="G57:J62"/>
    <mergeCell ref="Q57:T62"/>
    <mergeCell ref="D59:D60"/>
    <mergeCell ref="N59:N60"/>
    <mergeCell ref="G63:J67"/>
    <mergeCell ref="Q63:T67"/>
    <mergeCell ref="D64:D66"/>
    <mergeCell ref="N64:N66"/>
    <mergeCell ref="Q81:T81"/>
    <mergeCell ref="Q82:T82"/>
    <mergeCell ref="Q83:T87"/>
    <mergeCell ref="N85:N86"/>
    <mergeCell ref="G152:J156"/>
    <mergeCell ref="Q152:T156"/>
    <mergeCell ref="G68:J68"/>
    <mergeCell ref="Q68:T68"/>
    <mergeCell ref="G69:J69"/>
    <mergeCell ref="G70:J74"/>
    <mergeCell ref="Q70:T74"/>
    <mergeCell ref="D72:D73"/>
    <mergeCell ref="N72:N73"/>
    <mergeCell ref="G88:J92"/>
    <mergeCell ref="D23:D25"/>
    <mergeCell ref="D32:D33"/>
    <mergeCell ref="D36:D38"/>
    <mergeCell ref="G41:J41"/>
    <mergeCell ref="G55:J55"/>
    <mergeCell ref="G4:J8"/>
    <mergeCell ref="G9:J13"/>
    <mergeCell ref="G42:J42"/>
    <mergeCell ref="G43:J48"/>
    <mergeCell ref="G264:J264"/>
    <mergeCell ref="Q264:T264"/>
    <mergeCell ref="G265:J265"/>
    <mergeCell ref="Q265:T265"/>
    <mergeCell ref="G266:J270"/>
    <mergeCell ref="Q266:T270"/>
    <mergeCell ref="D268:D269"/>
    <mergeCell ref="N268:N269"/>
    <mergeCell ref="G271:J275"/>
    <mergeCell ref="Q271:T275"/>
    <mergeCell ref="D272:D274"/>
    <mergeCell ref="N272:N274"/>
    <mergeCell ref="G277:J277"/>
    <mergeCell ref="Q277:T277"/>
    <mergeCell ref="G278:J278"/>
    <mergeCell ref="Q278:T278"/>
    <mergeCell ref="G279:J283"/>
    <mergeCell ref="Q279:T283"/>
    <mergeCell ref="D281:D282"/>
    <mergeCell ref="N281:N282"/>
    <mergeCell ref="G284:J288"/>
    <mergeCell ref="Q284:T288"/>
    <mergeCell ref="D285:D287"/>
    <mergeCell ref="N285:N287"/>
    <mergeCell ref="G290:J290"/>
    <mergeCell ref="Q290:T290"/>
    <mergeCell ref="G291:J291"/>
    <mergeCell ref="Q291:T291"/>
    <mergeCell ref="G292:J296"/>
    <mergeCell ref="Q292:T296"/>
    <mergeCell ref="D294:D295"/>
    <mergeCell ref="N294:N295"/>
    <mergeCell ref="G297:J301"/>
    <mergeCell ref="Q297:T301"/>
    <mergeCell ref="D298:D300"/>
    <mergeCell ref="N298:N300"/>
    <mergeCell ref="G303:J303"/>
    <mergeCell ref="Q303:T303"/>
    <mergeCell ref="G304:J304"/>
    <mergeCell ref="Q304:T304"/>
    <mergeCell ref="G305:J309"/>
    <mergeCell ref="Q305:T309"/>
    <mergeCell ref="D307:D308"/>
    <mergeCell ref="N307:N308"/>
    <mergeCell ref="G310:J314"/>
    <mergeCell ref="Q310:T314"/>
    <mergeCell ref="D311:D313"/>
    <mergeCell ref="N311:N313"/>
    <mergeCell ref="G316:J316"/>
    <mergeCell ref="Q316:T316"/>
    <mergeCell ref="G317:J317"/>
    <mergeCell ref="Q317:T317"/>
    <mergeCell ref="G318:J322"/>
    <mergeCell ref="Q318:T322"/>
    <mergeCell ref="D320:D321"/>
    <mergeCell ref="N320:N321"/>
    <mergeCell ref="G323:J327"/>
    <mergeCell ref="Q323:T327"/>
    <mergeCell ref="D324:D326"/>
    <mergeCell ref="N324:N326"/>
  </mergeCells>
  <pageMargins left="0.15748031496062992" right="0.11811023622047245" top="0.19685039370078741" bottom="0.19685039370078741" header="0.15748031496062992" footer="0.1181102362204724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05"/>
  <sheetViews>
    <sheetView zoomScale="120" zoomScaleNormal="120" workbookViewId="0">
      <selection activeCell="A3" sqref="A3:M3"/>
    </sheetView>
  </sheetViews>
  <sheetFormatPr defaultColWidth="9" defaultRowHeight="21.95" customHeight="1"/>
  <cols>
    <col min="1" max="1" width="9.75" style="84" customWidth="1"/>
    <col min="2" max="4" width="8.875" style="84" customWidth="1"/>
    <col min="5" max="6" width="3" style="84" customWidth="1"/>
    <col min="7" max="7" width="2.625" style="105" customWidth="1"/>
    <col min="8" max="8" width="10" style="84" customWidth="1"/>
    <col min="9" max="11" width="8.875" style="84" customWidth="1"/>
    <col min="12" max="12" width="3" style="112" customWidth="1"/>
    <col min="13" max="13" width="3" style="84" customWidth="1"/>
    <col min="14" max="14" width="2.625" style="105" customWidth="1"/>
    <col min="15" max="15" width="1.375" style="84" bestFit="1" customWidth="1"/>
    <col min="16" max="16384" width="9" style="84"/>
  </cols>
  <sheetData>
    <row r="1" spans="1:15" ht="31.5">
      <c r="A1" s="345" t="s">
        <v>39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</row>
    <row r="2" spans="1:15" ht="21.95" customHeight="1">
      <c r="A2" s="344" t="s">
        <v>50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</row>
    <row r="3" spans="1:15" ht="21.95" customHeight="1">
      <c r="A3" s="346" t="s">
        <v>72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</row>
    <row r="4" spans="1:15" ht="15.75" customHeight="1">
      <c r="A4" s="350"/>
      <c r="B4" s="350"/>
      <c r="C4" s="350"/>
      <c r="D4" s="350"/>
      <c r="E4" s="350"/>
      <c r="F4" s="350"/>
      <c r="G4" s="350"/>
    </row>
    <row r="5" spans="1:15" ht="21.95" customHeight="1">
      <c r="A5" s="106"/>
      <c r="B5" s="333" t="str">
        <f>ข้อมูลทำเนียบ!B4</f>
        <v>พ.ต.ต.ณัฐพงษ์  กลิ่นลำยงค์/น้อย</v>
      </c>
      <c r="C5" s="334"/>
      <c r="D5" s="334"/>
      <c r="E5" s="335">
        <f>ข้อมูลทำเนียบ!D4</f>
        <v>0</v>
      </c>
      <c r="F5" s="336"/>
      <c r="G5" s="111">
        <v>1</v>
      </c>
      <c r="H5" s="106"/>
      <c r="I5" s="333" t="str">
        <f>ข้อมูลทำเนียบ!B5</f>
        <v>ร.ต.อ.สมชาติ  มีความเจริญ/ชาติ</v>
      </c>
      <c r="J5" s="334"/>
      <c r="K5" s="334"/>
      <c r="L5" s="335">
        <f>ข้อมูลทำเนียบ!D5</f>
        <v>0</v>
      </c>
      <c r="M5" s="336"/>
      <c r="N5" s="105">
        <v>2</v>
      </c>
    </row>
    <row r="6" spans="1:15" ht="21.95" customHeight="1">
      <c r="A6" s="107"/>
      <c r="B6" s="337" t="str">
        <f>ข้อมูลทำเนียบ!C4</f>
        <v xml:space="preserve">สวป.สน.ดินแดง บก.น.1 </v>
      </c>
      <c r="C6" s="338"/>
      <c r="D6" s="338"/>
      <c r="E6" s="338"/>
      <c r="F6" s="339"/>
      <c r="G6" s="111"/>
      <c r="H6" s="107"/>
      <c r="I6" s="337" t="str">
        <f>ข้อมูลทำเนียบ!C5</f>
        <v>รอง สวป.สน.ห้วยขวาง บก.น.1</v>
      </c>
      <c r="J6" s="338"/>
      <c r="K6" s="338"/>
      <c r="L6" s="338"/>
      <c r="M6" s="339"/>
    </row>
    <row r="7" spans="1:15" ht="21.95" customHeight="1">
      <c r="A7" s="108"/>
      <c r="B7" s="343">
        <f>ข้อมูลทำเนียบ!I4</f>
        <v>0</v>
      </c>
      <c r="C7" s="341"/>
      <c r="D7" s="341"/>
      <c r="E7" s="341"/>
      <c r="F7" s="342"/>
      <c r="G7" s="111"/>
      <c r="H7" s="108"/>
      <c r="I7" s="343">
        <f>ข้อมูลทำเนียบ!I5</f>
        <v>0</v>
      </c>
      <c r="J7" s="341"/>
      <c r="K7" s="341"/>
      <c r="L7" s="341"/>
      <c r="M7" s="342"/>
    </row>
    <row r="8" spans="1:15" ht="21.95" customHeight="1">
      <c r="B8" s="109"/>
      <c r="C8" s="110"/>
      <c r="D8" s="110"/>
      <c r="E8" s="110"/>
      <c r="F8" s="110"/>
      <c r="G8" s="111"/>
      <c r="I8" s="109"/>
      <c r="J8" s="110"/>
      <c r="K8" s="110"/>
      <c r="L8" s="113"/>
      <c r="M8" s="110"/>
      <c r="N8" s="111"/>
      <c r="O8" s="110"/>
    </row>
    <row r="9" spans="1:15" ht="21.95" customHeight="1">
      <c r="A9" s="106"/>
      <c r="B9" s="333" t="str">
        <f>ข้อมูลทำเนียบ!B6</f>
        <v>ร.ต.อ.สุวพิชญ์  อินทร์สิงห์/พิช</v>
      </c>
      <c r="C9" s="334"/>
      <c r="D9" s="334"/>
      <c r="E9" s="335">
        <f>ข้อมูลทำเนียบ!D6</f>
        <v>0</v>
      </c>
      <c r="F9" s="336"/>
      <c r="G9" s="111">
        <v>3</v>
      </c>
      <c r="H9" s="106"/>
      <c r="I9" s="333" t="str">
        <f>ข้อมูลทำเนียบ!B7</f>
        <v>ร.ต.อ.โสภณ  คำเวียงจันทร์/ปิ๊ก</v>
      </c>
      <c r="J9" s="334"/>
      <c r="K9" s="334"/>
      <c r="L9" s="335">
        <f>ข้อมูลทำเนียบ!D7</f>
        <v>0</v>
      </c>
      <c r="M9" s="336"/>
      <c r="N9" s="111">
        <v>4</v>
      </c>
      <c r="O9" s="110" t="s">
        <v>5</v>
      </c>
    </row>
    <row r="10" spans="1:15" ht="21.95" customHeight="1">
      <c r="A10" s="107"/>
      <c r="B10" s="337" t="str">
        <f>ข้อมูลทำเนียบ!C6</f>
        <v>รอง สวป.สน.บางเขน บก.น.2</v>
      </c>
      <c r="C10" s="338"/>
      <c r="D10" s="338"/>
      <c r="E10" s="338"/>
      <c r="F10" s="339"/>
      <c r="G10" s="111"/>
      <c r="H10" s="107"/>
      <c r="I10" s="337" t="str">
        <f>ข้อมูลทำเนียบ!C7</f>
        <v xml:space="preserve">รอง สว.ธร.สน.โคกคราม บก.น.2 </v>
      </c>
      <c r="J10" s="338"/>
      <c r="K10" s="338"/>
      <c r="L10" s="338"/>
      <c r="M10" s="339"/>
      <c r="N10" s="111"/>
      <c r="O10" s="110"/>
    </row>
    <row r="11" spans="1:15" ht="21.95" customHeight="1">
      <c r="A11" s="108"/>
      <c r="B11" s="343">
        <f>ข้อมูลทำเนียบ!I6</f>
        <v>0</v>
      </c>
      <c r="C11" s="341"/>
      <c r="D11" s="341"/>
      <c r="E11" s="341"/>
      <c r="F11" s="342"/>
      <c r="G11" s="111"/>
      <c r="H11" s="108"/>
      <c r="I11" s="343">
        <f>ข้อมูลทำเนียบ!I7</f>
        <v>0</v>
      </c>
      <c r="J11" s="341"/>
      <c r="K11" s="341"/>
      <c r="L11" s="341"/>
      <c r="M11" s="342"/>
      <c r="N11" s="111"/>
      <c r="O11" s="110"/>
    </row>
    <row r="13" spans="1:15" ht="21.95" customHeight="1">
      <c r="A13" s="106"/>
      <c r="B13" s="333" t="str">
        <f>ข้อมูลทำเนียบ!B8</f>
        <v>ร.ต.อ.มณฑล  แดงสมิง/แดง</v>
      </c>
      <c r="C13" s="334"/>
      <c r="D13" s="334"/>
      <c r="E13" s="335">
        <f>ข้อมูลทำเนียบ!D8</f>
        <v>0</v>
      </c>
      <c r="F13" s="336"/>
      <c r="G13" s="111">
        <v>5</v>
      </c>
      <c r="H13" s="106"/>
      <c r="I13" s="333" t="str">
        <f>ข้อมูลทำเนียบ!B9</f>
        <v>ร.ต.อ.ณภัทรพงษ์  ขันธะหัตถ์/พงษ์</v>
      </c>
      <c r="J13" s="334"/>
      <c r="K13" s="334"/>
      <c r="L13" s="335">
        <f>ข้อมูลทำเนียบ!D9</f>
        <v>0</v>
      </c>
      <c r="M13" s="336"/>
      <c r="N13" s="105">
        <v>6</v>
      </c>
    </row>
    <row r="14" spans="1:15" ht="21.95" customHeight="1">
      <c r="A14" s="107"/>
      <c r="B14" s="337" t="str">
        <f>ข้อมูลทำเนียบ!C8</f>
        <v>รอง สวป.สน.มีนบุรี บก.น.3</v>
      </c>
      <c r="C14" s="338"/>
      <c r="D14" s="338"/>
      <c r="E14" s="338"/>
      <c r="F14" s="339"/>
      <c r="G14" s="111"/>
      <c r="H14" s="107"/>
      <c r="I14" s="337" t="str">
        <f>ข้อมูลทำเนียบ!C9</f>
        <v>รอง สวป.สน.ร่มเกล้า บก.น.3</v>
      </c>
      <c r="J14" s="338"/>
      <c r="K14" s="338"/>
      <c r="L14" s="338"/>
      <c r="M14" s="339"/>
    </row>
    <row r="15" spans="1:15" ht="21.95" customHeight="1">
      <c r="A15" s="108"/>
      <c r="B15" s="343">
        <f>ข้อมูลทำเนียบ!I8</f>
        <v>0</v>
      </c>
      <c r="C15" s="341"/>
      <c r="D15" s="341"/>
      <c r="E15" s="341"/>
      <c r="F15" s="342"/>
      <c r="G15" s="111"/>
      <c r="H15" s="108"/>
      <c r="I15" s="343">
        <f>ข้อมูลทำเนียบ!I9</f>
        <v>0</v>
      </c>
      <c r="J15" s="341"/>
      <c r="K15" s="341"/>
      <c r="L15" s="341"/>
      <c r="M15" s="342"/>
    </row>
    <row r="17" spans="1:14" ht="21.95" customHeight="1">
      <c r="A17" s="106"/>
      <c r="B17" s="333" t="str">
        <f>ข้อมูลทำเนียบ!B10</f>
        <v>พ.ต.ท.ณรัฐช์พงศ์  อุดมศรี/ต้อม</v>
      </c>
      <c r="C17" s="334"/>
      <c r="D17" s="334"/>
      <c r="E17" s="335">
        <f>ข้อมูลทำเนียบ!D10</f>
        <v>0</v>
      </c>
      <c r="F17" s="336"/>
      <c r="G17" s="111">
        <v>7</v>
      </c>
      <c r="H17" s="106"/>
      <c r="I17" s="333" t="str">
        <f>ข้อมูลทำเนียบ!B11</f>
        <v>ร.ต.ท.กฤษฎา  ซอประเสริฐ/จี๊</v>
      </c>
      <c r="J17" s="334"/>
      <c r="K17" s="334"/>
      <c r="L17" s="335">
        <f>ข้อมูลทำเนียบ!D11</f>
        <v>0</v>
      </c>
      <c r="M17" s="336"/>
      <c r="N17" s="105">
        <v>8</v>
      </c>
    </row>
    <row r="18" spans="1:14" ht="21.95" customHeight="1">
      <c r="A18" s="107"/>
      <c r="B18" s="337" t="str">
        <f>ข้อมูลทำเนียบ!C10</f>
        <v>รอง ผกก.(ป.) สน.บึงกุ่ม บก.น.4</v>
      </c>
      <c r="C18" s="338"/>
      <c r="D18" s="338"/>
      <c r="E18" s="338"/>
      <c r="F18" s="339"/>
      <c r="G18" s="111"/>
      <c r="H18" s="107"/>
      <c r="I18" s="337" t="str">
        <f>ข้อมูลทำเนียบ!C11</f>
        <v>รอง สว.(สอบสวน) สน.บางชัน บก.น.4</v>
      </c>
      <c r="J18" s="338"/>
      <c r="K18" s="338"/>
      <c r="L18" s="338"/>
      <c r="M18" s="339"/>
    </row>
    <row r="19" spans="1:14" ht="21.95" customHeight="1">
      <c r="A19" s="108"/>
      <c r="B19" s="343">
        <f>ข้อมูลทำเนียบ!I10</f>
        <v>0</v>
      </c>
      <c r="C19" s="341"/>
      <c r="D19" s="341"/>
      <c r="E19" s="341"/>
      <c r="F19" s="342"/>
      <c r="G19" s="111"/>
      <c r="H19" s="108"/>
      <c r="I19" s="343">
        <f>ข้อมูลทำเนียบ!I11</f>
        <v>0</v>
      </c>
      <c r="J19" s="341"/>
      <c r="K19" s="341"/>
      <c r="L19" s="341"/>
      <c r="M19" s="342"/>
    </row>
    <row r="21" spans="1:14" ht="21.95" customHeight="1">
      <c r="A21" s="106"/>
      <c r="B21" s="333" t="str">
        <f>ข้อมูลทำเนียบ!B12</f>
        <v>ร.ต.อ.สรกฤช  ชุมหล่อ/พงศ์</v>
      </c>
      <c r="C21" s="334"/>
      <c r="D21" s="334"/>
      <c r="E21" s="335">
        <f>ข้อมูลทำเนียบ!D12</f>
        <v>0</v>
      </c>
      <c r="F21" s="336"/>
      <c r="G21" s="111">
        <v>9</v>
      </c>
      <c r="H21" s="106"/>
      <c r="I21" s="333" t="str">
        <f>ข้อมูลทำเนียบ!B13</f>
        <v>ร.ต.อ.กฤษณ  บัวหอม/ตุ้ม</v>
      </c>
      <c r="J21" s="334"/>
      <c r="K21" s="334"/>
      <c r="L21" s="335">
        <f>ข้อมูลทำเนียบ!D13</f>
        <v>0</v>
      </c>
      <c r="M21" s="336"/>
      <c r="N21" s="105">
        <v>10</v>
      </c>
    </row>
    <row r="22" spans="1:14" ht="21.95" customHeight="1">
      <c r="A22" s="107"/>
      <c r="B22" s="337" t="str">
        <f>ข้อมูลทำเนียบ!C12</f>
        <v>รอง สวป.สน.บางนา บก.น.5</v>
      </c>
      <c r="C22" s="338"/>
      <c r="D22" s="338"/>
      <c r="E22" s="338"/>
      <c r="F22" s="339"/>
      <c r="G22" s="111"/>
      <c r="H22" s="107"/>
      <c r="I22" s="337" t="str">
        <f>ข้อมูลทำเนียบ!C13</f>
        <v>รอง สวป.สน.ทุ่งมหาเมฆ</v>
      </c>
      <c r="J22" s="338"/>
      <c r="K22" s="338"/>
      <c r="L22" s="338"/>
      <c r="M22" s="339"/>
    </row>
    <row r="23" spans="1:14" ht="21.95" customHeight="1">
      <c r="A23" s="108"/>
      <c r="B23" s="343">
        <f>ข้อมูลทำเนียบ!I12</f>
        <v>0</v>
      </c>
      <c r="C23" s="341"/>
      <c r="D23" s="341"/>
      <c r="E23" s="341"/>
      <c r="F23" s="342"/>
      <c r="G23" s="111"/>
      <c r="H23" s="108"/>
      <c r="I23" s="343">
        <f>ข้อมูลทำเนียบ!I13</f>
        <v>0</v>
      </c>
      <c r="J23" s="341"/>
      <c r="K23" s="341"/>
      <c r="L23" s="341"/>
      <c r="M23" s="342"/>
    </row>
    <row r="25" spans="1:14" ht="21.95" customHeight="1">
      <c r="A25" s="106"/>
      <c r="B25" s="333" t="str">
        <f>ข้อมูลทำเนียบ!B14</f>
        <v>ร.ต.ท.จักรพันธุ์   พันธุ์มณี /หนึ่ง</v>
      </c>
      <c r="C25" s="334"/>
      <c r="D25" s="334"/>
      <c r="E25" s="335">
        <f>ข้อมูลทำเนียบ!D14</f>
        <v>0</v>
      </c>
      <c r="F25" s="336"/>
      <c r="G25" s="111">
        <v>11</v>
      </c>
      <c r="H25" s="106"/>
      <c r="I25" s="333" t="str">
        <f>ข้อมูลทำเนียบ!B15</f>
        <v>ร.ต.อ.ดุสิต   โชติสกุลแสงทอง/ดุ</v>
      </c>
      <c r="J25" s="334"/>
      <c r="K25" s="334"/>
      <c r="L25" s="335">
        <f>ข้อมูลทำเนียบ!D15</f>
        <v>0</v>
      </c>
      <c r="M25" s="336"/>
      <c r="N25" s="105">
        <v>12</v>
      </c>
    </row>
    <row r="26" spans="1:14" ht="21.95" customHeight="1">
      <c r="A26" s="107"/>
      <c r="B26" s="337" t="str">
        <f>ข้อมูลทำเนียบ!C14</f>
        <v>รอง สว.กก.สืบสวน ภ.จว.จันทบุรี</v>
      </c>
      <c r="C26" s="338"/>
      <c r="D26" s="338"/>
      <c r="E26" s="338"/>
      <c r="F26" s="339"/>
      <c r="G26" s="111"/>
      <c r="H26" s="107"/>
      <c r="I26" s="337" t="str">
        <f>ข้อมูลทำเนียบ!C15</f>
        <v xml:space="preserve">รอง สวป.สภ.สอยดาว จว.ชลบุรี </v>
      </c>
      <c r="J26" s="338"/>
      <c r="K26" s="338"/>
      <c r="L26" s="338"/>
      <c r="M26" s="339"/>
    </row>
    <row r="27" spans="1:14" ht="21.95" customHeight="1">
      <c r="A27" s="108"/>
      <c r="B27" s="343">
        <f>ข้อมูลทำเนียบ!I14</f>
        <v>0</v>
      </c>
      <c r="C27" s="341"/>
      <c r="D27" s="341"/>
      <c r="E27" s="341"/>
      <c r="F27" s="342"/>
      <c r="G27" s="111"/>
      <c r="H27" s="108"/>
      <c r="I27" s="343">
        <f>ข้อมูลทำเนียบ!I15</f>
        <v>0</v>
      </c>
      <c r="J27" s="341"/>
      <c r="K27" s="341"/>
      <c r="L27" s="341"/>
      <c r="M27" s="342"/>
    </row>
    <row r="29" spans="1:14" ht="21.95" customHeight="1">
      <c r="A29" s="106"/>
      <c r="B29" s="333" t="str">
        <f>ข้อมูลทำเนียบ!B16</f>
        <v>ร.ต.อ.ไกรศักดิ์   เฉยฉิว /ศักดิ์</v>
      </c>
      <c r="C29" s="334"/>
      <c r="D29" s="334"/>
      <c r="E29" s="335">
        <f>ข้อมูลทำเนียบ!D16</f>
        <v>0</v>
      </c>
      <c r="F29" s="336"/>
      <c r="G29" s="111">
        <v>13</v>
      </c>
      <c r="H29" s="106"/>
      <c r="I29" s="333" t="str">
        <f>ข้อมูลทำเนียบ!B17</f>
        <v>ร.ต.อ.ประยงค์   อยู่สาโก /ยงค์</v>
      </c>
      <c r="J29" s="334"/>
      <c r="K29" s="334"/>
      <c r="L29" s="335">
        <f>ข้อมูลทำเนียบ!D17</f>
        <v>0</v>
      </c>
      <c r="M29" s="336"/>
      <c r="N29" s="105">
        <v>14</v>
      </c>
    </row>
    <row r="30" spans="1:14" ht="21.95" customHeight="1">
      <c r="A30" s="107"/>
      <c r="B30" s="337" t="str">
        <f>ข้อมูลทำเนียบ!C16</f>
        <v xml:space="preserve">รอง สว.จร.สภ.บางน้ำเปรี้ยว จว.ฉะเชิงเทรา </v>
      </c>
      <c r="C30" s="338"/>
      <c r="D30" s="338"/>
      <c r="E30" s="338"/>
      <c r="F30" s="339"/>
      <c r="G30" s="111"/>
      <c r="H30" s="107"/>
      <c r="I30" s="337" t="str">
        <f>ข้อมูลทำเนียบ!C17</f>
        <v>รอง สวป.สภ.แปลงยาว จว.ฉะเชิงเทรา</v>
      </c>
      <c r="J30" s="338"/>
      <c r="K30" s="338"/>
      <c r="L30" s="338"/>
      <c r="M30" s="339"/>
    </row>
    <row r="31" spans="1:14" ht="21.95" customHeight="1">
      <c r="A31" s="108"/>
      <c r="B31" s="343">
        <f>ข้อมูลทำเนียบ!I16</f>
        <v>0</v>
      </c>
      <c r="C31" s="341"/>
      <c r="D31" s="341"/>
      <c r="E31" s="341"/>
      <c r="F31" s="342"/>
      <c r="G31" s="111"/>
      <c r="H31" s="108"/>
      <c r="I31" s="343">
        <f>ข้อมูลทำเนียบ!I17</f>
        <v>0</v>
      </c>
      <c r="J31" s="341"/>
      <c r="K31" s="341"/>
      <c r="L31" s="341"/>
      <c r="M31" s="342"/>
    </row>
    <row r="33" spans="1:18" ht="21.95" customHeight="1">
      <c r="A33" s="106"/>
      <c r="B33" s="333" t="str">
        <f>ข้อมูลทำเนียบ!B18</f>
        <v>ร.ต.อ.วุฒิพงษ์   กาสา/อู๊ด</v>
      </c>
      <c r="C33" s="334"/>
      <c r="D33" s="334"/>
      <c r="E33" s="335">
        <f>ข้อมูลทำเนียบ!D18</f>
        <v>0</v>
      </c>
      <c r="F33" s="336"/>
      <c r="G33" s="111">
        <v>15</v>
      </c>
      <c r="H33" s="106"/>
      <c r="I33" s="333" t="str">
        <f>ข้อมูลทำเนียบ!B19</f>
        <v>ร.ต.อ.ยงยุทธ  กองทอง/ยุทธ</v>
      </c>
      <c r="J33" s="334"/>
      <c r="K33" s="334"/>
      <c r="L33" s="335">
        <f>ข้อมูลทำเนียบ!D19</f>
        <v>0</v>
      </c>
      <c r="M33" s="336"/>
      <c r="N33" s="105">
        <v>16</v>
      </c>
    </row>
    <row r="34" spans="1:18" ht="21.95" customHeight="1">
      <c r="A34" s="107"/>
      <c r="B34" s="337" t="str">
        <f>ข้อมูลทำเนียบ!C18</f>
        <v xml:space="preserve">รอง สว.กก.สืบสวน ภ.จว.ชลบุรี </v>
      </c>
      <c r="C34" s="338"/>
      <c r="D34" s="338"/>
      <c r="E34" s="338"/>
      <c r="F34" s="339"/>
      <c r="G34" s="111"/>
      <c r="H34" s="107"/>
      <c r="I34" s="338" t="str">
        <f>ข้อมูลทำเนียบ!C19</f>
        <v>รอง สวป.สภ.ห้วยใหญ่ ภ.จว.ชลบุรี</v>
      </c>
      <c r="J34" s="338"/>
      <c r="K34" s="338"/>
      <c r="L34" s="338"/>
      <c r="M34" s="339"/>
    </row>
    <row r="35" spans="1:18" ht="21.95" customHeight="1">
      <c r="A35" s="108"/>
      <c r="B35" s="343">
        <f>ข้อมูลทำเนียบ!I18</f>
        <v>0</v>
      </c>
      <c r="C35" s="341"/>
      <c r="D35" s="341"/>
      <c r="E35" s="341"/>
      <c r="F35" s="342"/>
      <c r="G35" s="111"/>
      <c r="H35" s="108"/>
      <c r="I35" s="341">
        <f>ข้อมูลทำเนียบ!I19</f>
        <v>0</v>
      </c>
      <c r="J35" s="341"/>
      <c r="K35" s="341"/>
      <c r="L35" s="341"/>
      <c r="M35" s="342"/>
    </row>
    <row r="36" spans="1:18" ht="21.95" customHeight="1">
      <c r="C36" s="84" t="s">
        <v>6</v>
      </c>
      <c r="D36" s="84" t="s">
        <v>5</v>
      </c>
    </row>
    <row r="37" spans="1:18" ht="14.25" customHeight="1"/>
    <row r="38" spans="1:18" ht="21.95" customHeight="1">
      <c r="A38" s="106"/>
      <c r="B38" s="333" t="str">
        <f>ข้อมูลทำเนียบ!B20</f>
        <v>พ.ต.ท.อาทิตย์   ธรรมสุนา/ท๊อป</v>
      </c>
      <c r="C38" s="334"/>
      <c r="D38" s="334"/>
      <c r="E38" s="335">
        <f>ข้อมูลทำเนียบ!D20</f>
        <v>0</v>
      </c>
      <c r="F38" s="336"/>
      <c r="G38" s="111">
        <v>17</v>
      </c>
      <c r="H38" s="106"/>
      <c r="I38" s="333" t="str">
        <f>ข้อมูลทำเนียบ!B21</f>
        <v>ร.ต.อ.อนวัช   พรมปะ /วัช</v>
      </c>
      <c r="J38" s="334"/>
      <c r="K38" s="334"/>
      <c r="L38" s="335">
        <f>ข้อมูลทำเนียบ!D21</f>
        <v>0</v>
      </c>
      <c r="M38" s="336"/>
      <c r="N38" s="105">
        <v>18</v>
      </c>
    </row>
    <row r="39" spans="1:18" ht="21.95" customHeight="1">
      <c r="A39" s="107"/>
      <c r="B39" s="337" t="str">
        <f>ข้อมูลทำเนียบ!C20</f>
        <v xml:space="preserve">สวป.สภ.วังตะเคียน จว.ปราจีนบุรี </v>
      </c>
      <c r="C39" s="338"/>
      <c r="D39" s="338"/>
      <c r="E39" s="338"/>
      <c r="F39" s="339"/>
      <c r="G39" s="111"/>
      <c r="H39" s="107"/>
      <c r="I39" s="337" t="str">
        <f>ข้อมูลทำเนียบ!C21</f>
        <v>รอง สวป.สภ.ศรีมหาโพธิ จว.ปราจีนบุรี</v>
      </c>
      <c r="J39" s="338"/>
      <c r="K39" s="338"/>
      <c r="L39" s="338"/>
      <c r="M39" s="339"/>
    </row>
    <row r="40" spans="1:18" ht="21.95" customHeight="1">
      <c r="A40" s="108"/>
      <c r="B40" s="343">
        <f>ข้อมูลทำเนียบ!I20</f>
        <v>0</v>
      </c>
      <c r="C40" s="341"/>
      <c r="D40" s="341"/>
      <c r="E40" s="341"/>
      <c r="F40" s="342"/>
      <c r="G40" s="111"/>
      <c r="H40" s="108"/>
      <c r="I40" s="340">
        <f>ข้อมูลทำเนียบ!I21</f>
        <v>0</v>
      </c>
      <c r="J40" s="341"/>
      <c r="K40" s="341"/>
      <c r="L40" s="341"/>
      <c r="M40" s="342"/>
    </row>
    <row r="42" spans="1:18" ht="21.95" customHeight="1">
      <c r="A42" s="106"/>
      <c r="B42" s="333" t="str">
        <f>ข้อมูลทำเนียบ!B22</f>
        <v>ร.ต.อ.สิทธา   ช่อเกตุ /แหลม</v>
      </c>
      <c r="C42" s="334"/>
      <c r="D42" s="334"/>
      <c r="E42" s="335">
        <f>ข้อมูลทำเนียบ!D22</f>
        <v>0</v>
      </c>
      <c r="F42" s="336"/>
      <c r="G42" s="111">
        <v>19</v>
      </c>
      <c r="H42" s="106"/>
      <c r="I42" s="333" t="str">
        <f>ข้อมูลทำเนียบ!B23</f>
        <v>ร.ต.อ.คมเดช   ศรียางนอก /ยศ</v>
      </c>
      <c r="J42" s="334"/>
      <c r="K42" s="334"/>
      <c r="L42" s="335">
        <f>ข้อมูลทำเนียบ!D23</f>
        <v>0</v>
      </c>
      <c r="M42" s="336"/>
      <c r="N42" s="105">
        <v>20</v>
      </c>
    </row>
    <row r="43" spans="1:18" ht="21.95" customHeight="1">
      <c r="A43" s="107"/>
      <c r="B43" s="337" t="str">
        <f>ข้อมูลทำเนียบ!C22</f>
        <v xml:space="preserve">รอง สวป.สภ.มาบตาพุด จว.ระยอง </v>
      </c>
      <c r="C43" s="338"/>
      <c r="D43" s="338"/>
      <c r="E43" s="338"/>
      <c r="F43" s="339"/>
      <c r="G43" s="111"/>
      <c r="H43" s="107"/>
      <c r="I43" s="337" t="str">
        <f>ข้อมูลทำเนียบ!C23</f>
        <v>รอง สวป.สภ.บ้านฉาง จว.ระยอง</v>
      </c>
      <c r="J43" s="338"/>
      <c r="K43" s="338"/>
      <c r="L43" s="338"/>
      <c r="M43" s="339"/>
      <c r="R43" s="105"/>
    </row>
    <row r="44" spans="1:18" ht="21.95" customHeight="1">
      <c r="A44" s="108"/>
      <c r="B44" s="343">
        <f>ข้อมูลทำเนียบ!I22</f>
        <v>0</v>
      </c>
      <c r="C44" s="341"/>
      <c r="D44" s="341"/>
      <c r="E44" s="341"/>
      <c r="F44" s="342"/>
      <c r="G44" s="111"/>
      <c r="H44" s="108"/>
      <c r="I44" s="343">
        <f>ข้อมูลทำเนียบ!I23</f>
        <v>0</v>
      </c>
      <c r="J44" s="341"/>
      <c r="K44" s="341"/>
      <c r="L44" s="341"/>
      <c r="M44" s="342"/>
    </row>
    <row r="46" spans="1:18" ht="21.95" customHeight="1">
      <c r="A46" s="106"/>
      <c r="B46" s="333" t="str">
        <f>ข้อมูลทำเนียบ!B24</f>
        <v>พ.ต.ท.ชวลิต  อาจหาญ/กั้ง</v>
      </c>
      <c r="C46" s="334"/>
      <c r="D46" s="334"/>
      <c r="E46" s="335">
        <f>ข้อมูลทำเนียบ!D24</f>
        <v>0</v>
      </c>
      <c r="F46" s="336"/>
      <c r="G46" s="111">
        <v>21</v>
      </c>
      <c r="H46" s="106"/>
      <c r="I46" s="333" t="str">
        <f>ข้อมูลทำเนียบ!B25</f>
        <v>พ.ต.ต.เนติวุธ  สุดหนองบัว/เน</v>
      </c>
      <c r="J46" s="334"/>
      <c r="K46" s="334"/>
      <c r="L46" s="335">
        <f>ข้อมูลทำเนียบ!D25</f>
        <v>0</v>
      </c>
      <c r="M46" s="336"/>
      <c r="N46" s="105">
        <v>22</v>
      </c>
    </row>
    <row r="47" spans="1:18" ht="21.95" customHeight="1">
      <c r="A47" s="107"/>
      <c r="B47" s="337" t="str">
        <f>ข้อมูลทำเนียบ!C24</f>
        <v>สวป.สภ.เกษตรวิสัย ภ.จว.ร้อยเอ็ด</v>
      </c>
      <c r="C47" s="338"/>
      <c r="D47" s="338"/>
      <c r="E47" s="338"/>
      <c r="F47" s="339"/>
      <c r="G47" s="111"/>
      <c r="H47" s="107"/>
      <c r="I47" s="337" t="str">
        <f>ข้อมูลทำเนียบ!C25</f>
        <v>สวป.สภ.เมืองสรวง ภ.จว.ร้อยเอ็ด</v>
      </c>
      <c r="J47" s="338"/>
      <c r="K47" s="338"/>
      <c r="L47" s="338"/>
      <c r="M47" s="339"/>
    </row>
    <row r="48" spans="1:18" ht="21.95" customHeight="1">
      <c r="A48" s="108"/>
      <c r="B48" s="343">
        <f>ข้อมูลทำเนียบ!I24</f>
        <v>0</v>
      </c>
      <c r="C48" s="341"/>
      <c r="D48" s="341"/>
      <c r="E48" s="341"/>
      <c r="F48" s="342"/>
      <c r="G48" s="111"/>
      <c r="H48" s="108"/>
      <c r="I48" s="343">
        <f>ข้อมูลทำเนียบ!I25</f>
        <v>0</v>
      </c>
      <c r="J48" s="341"/>
      <c r="K48" s="341"/>
      <c r="L48" s="341"/>
      <c r="M48" s="342"/>
    </row>
    <row r="50" spans="1:14" ht="21.95" customHeight="1">
      <c r="A50" s="106"/>
      <c r="B50" s="333" t="str">
        <f>ข้อมูลทำเนียบ!B26</f>
        <v>ร.ต.อ.สะไกร  ปิดสายะ/ไกร</v>
      </c>
      <c r="C50" s="334"/>
      <c r="D50" s="334"/>
      <c r="E50" s="335">
        <f>ข้อมูลทำเนียบ!D26</f>
        <v>0</v>
      </c>
      <c r="F50" s="336"/>
      <c r="G50" s="111">
        <v>23</v>
      </c>
      <c r="H50" s="106"/>
      <c r="I50" s="333" t="str">
        <f>ข้อมูลทำเนียบ!B27</f>
        <v>ร.ต.อ.ปิยพล  อนันต์เอื้อ/ต๋อง</v>
      </c>
      <c r="J50" s="334"/>
      <c r="K50" s="334"/>
      <c r="L50" s="335">
        <f>ข้อมูลทำเนียบ!D27</f>
        <v>0</v>
      </c>
      <c r="M50" s="336"/>
      <c r="N50" s="105">
        <v>24</v>
      </c>
    </row>
    <row r="51" spans="1:14" ht="21.95" customHeight="1">
      <c r="A51" s="107"/>
      <c r="B51" s="337" t="str">
        <f>ข้อมูลทำเนียบ!C26</f>
        <v>รอง สวป.สภ.ท่าคันโท ภ.จว.กาฬสินธุ์</v>
      </c>
      <c r="C51" s="338"/>
      <c r="D51" s="338"/>
      <c r="E51" s="338"/>
      <c r="F51" s="339"/>
      <c r="G51" s="111"/>
      <c r="H51" s="107"/>
      <c r="I51" s="337" t="str">
        <f>ข้อมูลทำเนียบ!C27</f>
        <v>รอง สว.สส.สภ.ดอนจาน ภ.จว.กาฬสินธุ์</v>
      </c>
      <c r="J51" s="338"/>
      <c r="K51" s="338"/>
      <c r="L51" s="338"/>
      <c r="M51" s="339"/>
    </row>
    <row r="52" spans="1:14" ht="21.95" customHeight="1">
      <c r="A52" s="108"/>
      <c r="B52" s="343">
        <f>ข้อมูลทำเนียบ!I26</f>
        <v>0</v>
      </c>
      <c r="C52" s="341"/>
      <c r="D52" s="341"/>
      <c r="E52" s="341"/>
      <c r="F52" s="342"/>
      <c r="G52" s="111"/>
      <c r="H52" s="108"/>
      <c r="I52" s="343">
        <f>ข้อมูลทำเนียบ!I27</f>
        <v>0</v>
      </c>
      <c r="J52" s="341"/>
      <c r="K52" s="341"/>
      <c r="L52" s="341"/>
      <c r="M52" s="342"/>
    </row>
    <row r="54" spans="1:14" ht="21.95" customHeight="1">
      <c r="A54" s="106"/>
      <c r="B54" s="333" t="str">
        <f>ข้อมูลทำเนียบ!B28</f>
        <v>ร.ต.อ.ศิริชัย  ปลัดขวา/เม้า</v>
      </c>
      <c r="C54" s="334"/>
      <c r="D54" s="334"/>
      <c r="E54" s="335">
        <f>ข้อมูลทำเนียบ!D28</f>
        <v>0</v>
      </c>
      <c r="F54" s="336"/>
      <c r="G54" s="111">
        <v>25</v>
      </c>
      <c r="H54" s="106"/>
      <c r="I54" s="333" t="str">
        <f>ข้อมูลทำเนียบ!B29</f>
        <v>ร.ต.อ.สุวสันต์  นาหาร/เสือ</v>
      </c>
      <c r="J54" s="334"/>
      <c r="K54" s="334"/>
      <c r="L54" s="335">
        <f>ข้อมูลทำเนียบ!D29</f>
        <v>0</v>
      </c>
      <c r="M54" s="336"/>
      <c r="N54" s="105">
        <v>26</v>
      </c>
    </row>
    <row r="55" spans="1:14" ht="21.95" customHeight="1">
      <c r="A55" s="107"/>
      <c r="B55" s="337" t="str">
        <f>ข้อมูลทำเนียบ!C28</f>
        <v>รอง สวป.ฯ ปรก.สภ.บ้านไผ่ ภ.จว.ขอนแก่น</v>
      </c>
      <c r="C55" s="338"/>
      <c r="D55" s="338"/>
      <c r="E55" s="338"/>
      <c r="F55" s="339"/>
      <c r="G55" s="111"/>
      <c r="H55" s="107"/>
      <c r="I55" s="337" t="str">
        <f>ข้อมูลทำเนียบ!C29</f>
        <v>รอง สวป.สภ.บ้านแฮด ภ.จว.ขอนแก่น</v>
      </c>
      <c r="J55" s="338"/>
      <c r="K55" s="338"/>
      <c r="L55" s="338"/>
      <c r="M55" s="339"/>
    </row>
    <row r="56" spans="1:14" ht="21.95" customHeight="1">
      <c r="A56" s="108"/>
      <c r="B56" s="343">
        <f>ข้อมูลทำเนียบ!I28</f>
        <v>0</v>
      </c>
      <c r="C56" s="341"/>
      <c r="D56" s="341"/>
      <c r="E56" s="341"/>
      <c r="F56" s="342"/>
      <c r="G56" s="111"/>
      <c r="H56" s="108"/>
      <c r="I56" s="343">
        <f>ข้อมูลทำเนียบ!I29</f>
        <v>0</v>
      </c>
      <c r="J56" s="341"/>
      <c r="K56" s="341"/>
      <c r="L56" s="341"/>
      <c r="M56" s="342"/>
    </row>
    <row r="58" spans="1:14" ht="21.95" customHeight="1">
      <c r="A58" s="106"/>
      <c r="B58" s="333" t="str">
        <f>ข้อมูลทำเนียบ!B30</f>
        <v>ร.ต.อ.ศุภชาติ  โพธิจันทร์/ชาติ</v>
      </c>
      <c r="C58" s="334"/>
      <c r="D58" s="334"/>
      <c r="E58" s="335">
        <f>ข้อมูลทำเนียบ!D30</f>
        <v>0</v>
      </c>
      <c r="F58" s="336"/>
      <c r="G58" s="111">
        <v>27</v>
      </c>
      <c r="H58" s="106"/>
      <c r="I58" s="333" t="str">
        <f>ข้อมูลทำเนียบ!B31</f>
        <v>ร.ต.อ.จักริน  โสดาวิชิต/โทน</v>
      </c>
      <c r="J58" s="334"/>
      <c r="K58" s="334"/>
      <c r="L58" s="335">
        <f>ข้อมูลทำเนียบ!D31</f>
        <v>0</v>
      </c>
      <c r="M58" s="336"/>
      <c r="N58" s="105">
        <v>28</v>
      </c>
    </row>
    <row r="59" spans="1:14" ht="21.95" customHeight="1">
      <c r="A59" s="107"/>
      <c r="B59" s="337" t="str">
        <f>ข้อมูลทำเนียบ!C30</f>
        <v>รอง สว.กก.สืบสวน ภ.จว.หนองคาย</v>
      </c>
      <c r="C59" s="338"/>
      <c r="D59" s="338"/>
      <c r="E59" s="338"/>
      <c r="F59" s="339"/>
      <c r="G59" s="111"/>
      <c r="H59" s="107"/>
      <c r="I59" s="337" t="str">
        <f>ข้อมูลทำเนียบ!C31</f>
        <v>รอง สวป.สภ.รัตนะวาปี ภ.จว.หนองคาย</v>
      </c>
      <c r="J59" s="338"/>
      <c r="K59" s="338"/>
      <c r="L59" s="338"/>
      <c r="M59" s="339"/>
    </row>
    <row r="60" spans="1:14" ht="21.95" customHeight="1">
      <c r="A60" s="108"/>
      <c r="B60" s="343">
        <f>ข้อมูลทำเนียบ!I30</f>
        <v>0</v>
      </c>
      <c r="C60" s="341"/>
      <c r="D60" s="341"/>
      <c r="E60" s="341"/>
      <c r="F60" s="342"/>
      <c r="G60" s="111"/>
      <c r="H60" s="108"/>
      <c r="I60" s="343">
        <f>ข้อมูลทำเนียบ!I31</f>
        <v>0</v>
      </c>
      <c r="J60" s="341"/>
      <c r="K60" s="341"/>
      <c r="L60" s="341"/>
      <c r="M60" s="342"/>
    </row>
    <row r="62" spans="1:14" ht="21.95" customHeight="1">
      <c r="A62" s="106"/>
      <c r="B62" s="333" t="str">
        <f>ข้อมูลทำเนียบ!B32</f>
        <v>ร.ต.อ.ธนากร  ภูขาว/โบ้</v>
      </c>
      <c r="C62" s="334"/>
      <c r="D62" s="334"/>
      <c r="E62" s="335">
        <f>ข้อมูลทำเนียบ!D32</f>
        <v>0</v>
      </c>
      <c r="F62" s="336"/>
      <c r="G62" s="111">
        <v>29</v>
      </c>
      <c r="H62" s="106"/>
      <c r="I62" s="333" t="str">
        <f>ข้อมูลทำเนียบ!B33</f>
        <v>ร.ต.อ.วงศ์วริศ  ธรรมโกลัง/เปา</v>
      </c>
      <c r="J62" s="334"/>
      <c r="K62" s="334"/>
      <c r="L62" s="335">
        <f>ข้อมูลทำเนียบ!D33</f>
        <v>0</v>
      </c>
      <c r="M62" s="336"/>
      <c r="N62" s="105">
        <v>30</v>
      </c>
    </row>
    <row r="63" spans="1:14" ht="21.95" customHeight="1">
      <c r="A63" s="107"/>
      <c r="B63" s="337" t="str">
        <f>ข้อมูลทำเนียบ!C32</f>
        <v>รอง สวป.สภ.กุมภวาปี ปรก.สภ.เมืองอุดรธานี</v>
      </c>
      <c r="C63" s="338"/>
      <c r="D63" s="338"/>
      <c r="E63" s="338"/>
      <c r="F63" s="339"/>
      <c r="G63" s="111"/>
      <c r="H63" s="107"/>
      <c r="I63" s="337" t="str">
        <f>ข้อมูลทำเนียบ!C33</f>
        <v>รอง สวป.สภ.นายูง ปรก.สภ.เมืองอุดรธานี</v>
      </c>
      <c r="J63" s="338"/>
      <c r="K63" s="338"/>
      <c r="L63" s="338"/>
      <c r="M63" s="339"/>
    </row>
    <row r="64" spans="1:14" ht="21.95" customHeight="1">
      <c r="A64" s="108"/>
      <c r="B64" s="343">
        <f>ข้อมูลทำเนียบ!I32</f>
        <v>0</v>
      </c>
      <c r="C64" s="341"/>
      <c r="D64" s="341"/>
      <c r="E64" s="341"/>
      <c r="F64" s="342"/>
      <c r="G64" s="111"/>
      <c r="H64" s="108"/>
      <c r="I64" s="343">
        <f>ข้อมูลทำเนียบ!I33</f>
        <v>0</v>
      </c>
      <c r="J64" s="341"/>
      <c r="K64" s="341"/>
      <c r="L64" s="341"/>
      <c r="M64" s="342"/>
    </row>
    <row r="66" spans="1:14" ht="21.95" customHeight="1">
      <c r="A66" s="106"/>
      <c r="B66" s="333" t="str">
        <f>ข้อมูลทำเนียบ!B34</f>
        <v>พ.ต.ท.รุ่ง  เทียนอยู่</v>
      </c>
      <c r="C66" s="334"/>
      <c r="D66" s="334"/>
      <c r="E66" s="335">
        <f>ข้อมูลทำเนียบ!D34</f>
        <v>0</v>
      </c>
      <c r="F66" s="336"/>
      <c r="G66" s="111">
        <v>31</v>
      </c>
      <c r="H66" s="106"/>
      <c r="I66" s="333" t="str">
        <f>ข้อมูลทำเนียบ!B35</f>
        <v>พ.ต.ท.บุญนพ  คำมูล/นพ</v>
      </c>
      <c r="J66" s="334"/>
      <c r="K66" s="334"/>
      <c r="L66" s="335">
        <f>ข้อมูลทำเนียบ!D35</f>
        <v>0</v>
      </c>
      <c r="M66" s="349"/>
      <c r="N66" s="105">
        <v>32</v>
      </c>
    </row>
    <row r="67" spans="1:14" ht="21.95" customHeight="1">
      <c r="A67" s="107"/>
      <c r="B67" s="337" t="str">
        <f>ข้อมูลทำเนียบ!C34</f>
        <v>สวป.สภ.คลองขลุง ภ.จว.กำแพงเพชร</v>
      </c>
      <c r="C67" s="338"/>
      <c r="D67" s="338"/>
      <c r="E67" s="338"/>
      <c r="F67" s="339"/>
      <c r="G67" s="111"/>
      <c r="H67" s="107"/>
      <c r="I67" s="337" t="str">
        <f>ข้อมูลทำเนียบ!C35</f>
        <v>สวป.สภ.ไทรงาม ภ.จว.กำแพงเพชร</v>
      </c>
      <c r="J67" s="351"/>
      <c r="K67" s="351"/>
      <c r="L67" s="351"/>
      <c r="M67" s="352"/>
    </row>
    <row r="68" spans="1:14" ht="21.95" customHeight="1">
      <c r="A68" s="108"/>
      <c r="B68" s="343">
        <f>ข้อมูลทำเนียบ!I34</f>
        <v>0</v>
      </c>
      <c r="C68" s="341"/>
      <c r="D68" s="341"/>
      <c r="E68" s="341"/>
      <c r="F68" s="342"/>
      <c r="G68" s="111"/>
      <c r="H68" s="108"/>
      <c r="I68" s="340">
        <f>ข้อมูลทำเนียบ!I35</f>
        <v>0</v>
      </c>
      <c r="J68" s="347"/>
      <c r="K68" s="347"/>
      <c r="L68" s="347"/>
      <c r="M68" s="348"/>
    </row>
    <row r="70" spans="1:14" ht="15" customHeight="1"/>
    <row r="71" spans="1:14" ht="21.95" customHeight="1">
      <c r="A71" s="106"/>
      <c r="B71" s="333" t="str">
        <f>ข้อมูลทำเนียบ!B36</f>
        <v>ร.ต.อ.วีรพงศ์  สีลินลี/วี</v>
      </c>
      <c r="C71" s="334"/>
      <c r="D71" s="334"/>
      <c r="E71" s="335">
        <f>ข้อมูลทำเนียบ!D36</f>
        <v>0</v>
      </c>
      <c r="F71" s="336"/>
      <c r="G71" s="111">
        <v>33</v>
      </c>
      <c r="H71" s="106"/>
      <c r="I71" s="333" t="str">
        <f>ข้อมูลทำเนียบ!B37</f>
        <v>ร.ต.อ.ชาคลีรัตน์  ปาสร้อย/โอโต๋</v>
      </c>
      <c r="J71" s="334"/>
      <c r="K71" s="334"/>
      <c r="L71" s="335">
        <f>ข้อมูลทำเนียบ!D37</f>
        <v>0</v>
      </c>
      <c r="M71" s="336"/>
      <c r="N71" s="105">
        <v>34</v>
      </c>
    </row>
    <row r="72" spans="1:14" ht="21.95" customHeight="1">
      <c r="A72" s="107"/>
      <c r="B72" s="337" t="str">
        <f>ข้อมูลทำเนียบ!C36</f>
        <v>รอง สวป.สภ.ลาดยาว ภ.จว.นครสวรรค์</v>
      </c>
      <c r="C72" s="338"/>
      <c r="D72" s="338"/>
      <c r="E72" s="338"/>
      <c r="F72" s="339"/>
      <c r="G72" s="111"/>
      <c r="H72" s="107"/>
      <c r="I72" s="337" t="str">
        <f>ข้อมูลทำเนียบ!C37</f>
        <v>รอง สวป.สภ.บรรพตพิสัย ภ.จว.นครสวรรค์</v>
      </c>
      <c r="J72" s="338"/>
      <c r="K72" s="338"/>
      <c r="L72" s="338"/>
      <c r="M72" s="339"/>
    </row>
    <row r="73" spans="1:14" ht="21.95" customHeight="1">
      <c r="A73" s="108"/>
      <c r="B73" s="343">
        <f>ข้อมูลทำเนียบ!I36</f>
        <v>0</v>
      </c>
      <c r="C73" s="341"/>
      <c r="D73" s="341"/>
      <c r="E73" s="341"/>
      <c r="F73" s="342"/>
      <c r="G73" s="111"/>
      <c r="H73" s="108"/>
      <c r="I73" s="343">
        <f>ข้อมูลทำเนียบ!I37</f>
        <v>0</v>
      </c>
      <c r="J73" s="341"/>
      <c r="K73" s="341"/>
      <c r="L73" s="341"/>
      <c r="M73" s="342"/>
    </row>
    <row r="74" spans="1:14" ht="15" customHeight="1"/>
    <row r="75" spans="1:14" ht="21.95" customHeight="1">
      <c r="A75" s="106"/>
      <c r="B75" s="333" t="str">
        <f>ข้อมูลทำเนียบ!B38</f>
        <v>ร.ต.อ.อนุกุล  จันทร์นุช/นุ</v>
      </c>
      <c r="C75" s="334"/>
      <c r="D75" s="334"/>
      <c r="E75" s="335">
        <f>ข้อมูลทำเนียบ!D38</f>
        <v>0</v>
      </c>
      <c r="F75" s="336"/>
      <c r="G75" s="111">
        <v>35</v>
      </c>
      <c r="H75" s="106"/>
      <c r="I75" s="333" t="str">
        <f>ข้อมูลทำเนียบ!B39</f>
        <v>ร.ต.อ.อุทัย  รอดอยู่/ทัย</v>
      </c>
      <c r="J75" s="334"/>
      <c r="K75" s="334"/>
      <c r="L75" s="335">
        <f>ข้อมูลทำเนียบ!D39</f>
        <v>0</v>
      </c>
      <c r="M75" s="336"/>
      <c r="N75" s="105">
        <v>36</v>
      </c>
    </row>
    <row r="76" spans="1:14" ht="21.95" customHeight="1">
      <c r="A76" s="107"/>
      <c r="B76" s="337" t="str">
        <f>ข้อมูลทำเนียบ!C38</f>
        <v>รอง สวป.สภ.บางมูลนาก ภ.จว.พิจิตร</v>
      </c>
      <c r="C76" s="338"/>
      <c r="D76" s="338"/>
      <c r="E76" s="338"/>
      <c r="F76" s="339"/>
      <c r="G76" s="111"/>
      <c r="H76" s="107"/>
      <c r="I76" s="337" t="str">
        <f>ข้อมูลทำเนียบ!C39</f>
        <v>รอง สวป.สภ.วชิรบารมี ภ.จว.พิจิตร</v>
      </c>
      <c r="J76" s="338"/>
      <c r="K76" s="338"/>
      <c r="L76" s="338"/>
      <c r="M76" s="339"/>
    </row>
    <row r="77" spans="1:14" ht="21.95" customHeight="1">
      <c r="A77" s="108"/>
      <c r="B77" s="343">
        <f>ข้อมูลทำเนียบ!I38</f>
        <v>0</v>
      </c>
      <c r="C77" s="341"/>
      <c r="D77" s="341"/>
      <c r="E77" s="341"/>
      <c r="F77" s="342"/>
      <c r="G77" s="111"/>
      <c r="H77" s="108"/>
      <c r="I77" s="343">
        <f>ข้อมูลทำเนียบ!I39</f>
        <v>0</v>
      </c>
      <c r="J77" s="341"/>
      <c r="K77" s="341"/>
      <c r="L77" s="341"/>
      <c r="M77" s="342"/>
    </row>
    <row r="78" spans="1:14" ht="15" customHeight="1"/>
    <row r="79" spans="1:14" ht="21.95" customHeight="1">
      <c r="A79" s="106"/>
      <c r="B79" s="333" t="str">
        <f>ข้อมูลทำเนียบ!B40</f>
        <v>ร.ต.อ.ธุวชิต  สอนศรี/ชิต</v>
      </c>
      <c r="C79" s="334"/>
      <c r="D79" s="334"/>
      <c r="E79" s="335">
        <f>ข้อมูลทำเนียบ!D40</f>
        <v>0</v>
      </c>
      <c r="F79" s="336"/>
      <c r="G79" s="111">
        <v>37</v>
      </c>
      <c r="H79" s="106"/>
      <c r="I79" s="333" t="str">
        <f>ข้อมูลทำเนียบ!B41</f>
        <v>ร.ต.อ.อมร  เมืองแก้ว/มอน</v>
      </c>
      <c r="J79" s="334"/>
      <c r="K79" s="334"/>
      <c r="L79" s="335">
        <f>ข้อมูลทำเนียบ!D41</f>
        <v>0</v>
      </c>
      <c r="M79" s="336"/>
      <c r="N79" s="105">
        <v>38</v>
      </c>
    </row>
    <row r="80" spans="1:14" ht="21.95" customHeight="1">
      <c r="A80" s="107"/>
      <c r="B80" s="337" t="str">
        <f>ข้อมูลทำเนียบ!C40</f>
        <v>รอง สวป.สภ.พรหมพิราม ภ.จว.พิษณุโลก</v>
      </c>
      <c r="C80" s="338"/>
      <c r="D80" s="338"/>
      <c r="E80" s="338"/>
      <c r="F80" s="339"/>
      <c r="G80" s="111"/>
      <c r="H80" s="107"/>
      <c r="I80" s="337" t="str">
        <f>ข้อมูลทำเนียบ!C41</f>
        <v>รอง สวป.สภ.วังทอง ภ.จว.พิษณุโลก</v>
      </c>
      <c r="J80" s="338"/>
      <c r="K80" s="338"/>
      <c r="L80" s="338"/>
      <c r="M80" s="339"/>
    </row>
    <row r="81" spans="1:14" ht="21.95" customHeight="1">
      <c r="A81" s="108"/>
      <c r="B81" s="343">
        <f>ข้อมูลทำเนียบ!I40</f>
        <v>0</v>
      </c>
      <c r="C81" s="341"/>
      <c r="D81" s="341"/>
      <c r="E81" s="341"/>
      <c r="F81" s="342"/>
      <c r="G81" s="111"/>
      <c r="H81" s="108"/>
      <c r="I81" s="343">
        <f>ข้อมูลทำเนียบ!I41</f>
        <v>0</v>
      </c>
      <c r="J81" s="341"/>
      <c r="K81" s="341"/>
      <c r="L81" s="341"/>
      <c r="M81" s="342"/>
    </row>
    <row r="82" spans="1:14" ht="15" customHeight="1"/>
    <row r="83" spans="1:14" ht="21.95" customHeight="1">
      <c r="A83" s="106"/>
      <c r="B83" s="333" t="str">
        <f>ข้อมูลทำเนียบ!B42</f>
        <v>ร.ต.อ.พรชัย  ปิ่นชาลี/โล่</v>
      </c>
      <c r="C83" s="334"/>
      <c r="D83" s="334"/>
      <c r="E83" s="335">
        <f>ข้อมูลทำเนียบ!D42</f>
        <v>0</v>
      </c>
      <c r="F83" s="336"/>
      <c r="G83" s="111">
        <v>39</v>
      </c>
      <c r="H83" s="106"/>
      <c r="I83" s="333" t="str">
        <f>ข้อมูลทำเนียบ!B43</f>
        <v>ร.ต.ต.สันติพงษ์  แก้มกรม/พงษ์</v>
      </c>
      <c r="J83" s="334"/>
      <c r="K83" s="334"/>
      <c r="L83" s="335">
        <f>ข้อมูลทำเนียบ!D43</f>
        <v>0</v>
      </c>
      <c r="M83" s="336"/>
      <c r="N83" s="105">
        <v>40</v>
      </c>
    </row>
    <row r="84" spans="1:14" ht="21.95" customHeight="1">
      <c r="A84" s="107"/>
      <c r="B84" s="337" t="str">
        <f>ข้อมูลทำเนียบ!C42</f>
        <v>รอง สวป.สภ.เมืองเพชรบูรณ์</v>
      </c>
      <c r="C84" s="338"/>
      <c r="D84" s="338"/>
      <c r="E84" s="338"/>
      <c r="F84" s="339"/>
      <c r="G84" s="111"/>
      <c r="H84" s="107"/>
      <c r="I84" s="337" t="str">
        <f>ข้อมูลทำเนียบ!C43</f>
        <v>รอง สวป.สภ.หล่มสัก ภ.จว.เพชรบูรณ์</v>
      </c>
      <c r="J84" s="338"/>
      <c r="K84" s="338"/>
      <c r="L84" s="338"/>
      <c r="M84" s="339"/>
    </row>
    <row r="85" spans="1:14" ht="21.95" customHeight="1">
      <c r="A85" s="108"/>
      <c r="B85" s="343">
        <f>ข้อมูลทำเนียบ!I42</f>
        <v>0</v>
      </c>
      <c r="C85" s="341"/>
      <c r="D85" s="341"/>
      <c r="E85" s="341"/>
      <c r="F85" s="342"/>
      <c r="G85" s="111"/>
      <c r="H85" s="108"/>
      <c r="I85" s="343">
        <f>ข้อมูลทำเนียบ!I43</f>
        <v>0</v>
      </c>
      <c r="J85" s="341"/>
      <c r="K85" s="341"/>
      <c r="L85" s="341"/>
      <c r="M85" s="342"/>
    </row>
    <row r="86" spans="1:14" ht="15" customHeight="1"/>
    <row r="87" spans="1:14" ht="21.95" customHeight="1">
      <c r="A87" s="106"/>
      <c r="B87" s="333" t="str">
        <f>ข้อมูลทำเนียบ!B44</f>
        <v>ร.ต.อ.ไกรวุฒิ  แก้วภิรมย์</v>
      </c>
      <c r="C87" s="334"/>
      <c r="D87" s="334"/>
      <c r="E87" s="335">
        <f>ข้อมูลทำเนียบ!D46</f>
        <v>0</v>
      </c>
      <c r="F87" s="336"/>
      <c r="G87" s="111">
        <v>41</v>
      </c>
      <c r="H87" s="106"/>
      <c r="I87" s="333" t="str">
        <f>ข้อมูลทำเนียบ!B45</f>
        <v>ร.ต.อ.วัฒนา  ศรีศิลป์/เจี๊ยบ</v>
      </c>
      <c r="J87" s="334"/>
      <c r="K87" s="334"/>
      <c r="L87" s="335">
        <f>ข้อมูลทำเนียบ!D47</f>
        <v>0</v>
      </c>
      <c r="M87" s="336"/>
      <c r="N87" s="105">
        <v>42</v>
      </c>
    </row>
    <row r="88" spans="1:14" ht="21.95" customHeight="1">
      <c r="A88" s="107"/>
      <c r="B88" s="337" t="str">
        <f>ข้อมูลทำเนียบ!C44</f>
        <v>รอง สวป.สภ.ปากเกร็ด ภ.จว.นนทบุรี</v>
      </c>
      <c r="C88" s="338"/>
      <c r="D88" s="338"/>
      <c r="E88" s="338"/>
      <c r="F88" s="339"/>
      <c r="G88" s="111"/>
      <c r="H88" s="107"/>
      <c r="I88" s="337" t="str">
        <f>ข้อมูลทำเนียบ!C45</f>
        <v>รอง สวป.สภ.บ้านตาขุน ภ.จว.สุราษฎร์ธานี</v>
      </c>
      <c r="J88" s="338"/>
      <c r="K88" s="338"/>
      <c r="L88" s="338"/>
      <c r="M88" s="339"/>
    </row>
    <row r="89" spans="1:14" ht="21.95" customHeight="1">
      <c r="A89" s="108"/>
      <c r="B89" s="340">
        <f>ข้อมูลทำเนียบ!I44</f>
        <v>0</v>
      </c>
      <c r="C89" s="341"/>
      <c r="D89" s="341"/>
      <c r="E89" s="341"/>
      <c r="F89" s="342"/>
      <c r="G89" s="111"/>
      <c r="H89" s="108"/>
      <c r="I89" s="340">
        <f>ข้อมูลทำเนียบ!I45</f>
        <v>0</v>
      </c>
      <c r="J89" s="341"/>
      <c r="K89" s="341"/>
      <c r="L89" s="341"/>
      <c r="M89" s="342"/>
    </row>
    <row r="90" spans="1:14" ht="15" customHeight="1"/>
    <row r="91" spans="1:14" ht="21.95" customHeight="1">
      <c r="A91" s="106"/>
      <c r="B91" s="333" t="str">
        <f>ข้อมูลทำเนียบ!B46</f>
        <v>ร.ต.อ.มนตรี  พรหมแก้ว/มน</v>
      </c>
      <c r="C91" s="334"/>
      <c r="D91" s="334"/>
      <c r="E91" s="335">
        <f>ข้อมูลทำเนียบ!D50</f>
        <v>0</v>
      </c>
      <c r="F91" s="336"/>
      <c r="G91" s="111">
        <v>43</v>
      </c>
      <c r="H91" s="106"/>
      <c r="I91" s="333" t="str">
        <f>ข้อมูลทำเนียบ!B47</f>
        <v>ร.ต.อ.หัตพัต  ใจโปร่ง/เอ็ม</v>
      </c>
      <c r="J91" s="334"/>
      <c r="K91" s="334"/>
      <c r="L91" s="335">
        <f>ข้อมูลทำเนียบ!D51</f>
        <v>0</v>
      </c>
      <c r="M91" s="336"/>
      <c r="N91" s="105">
        <v>44</v>
      </c>
    </row>
    <row r="92" spans="1:14" ht="21.95" customHeight="1">
      <c r="A92" s="107"/>
      <c r="B92" s="337" t="str">
        <f>ข้อมูลทำเนียบ!C46</f>
        <v>รอง สว.กก.สส.ภ.จว.นครศรีธรรมราช</v>
      </c>
      <c r="C92" s="338"/>
      <c r="D92" s="338"/>
      <c r="E92" s="338"/>
      <c r="F92" s="339"/>
      <c r="G92" s="111"/>
      <c r="H92" s="107"/>
      <c r="I92" s="337" t="str">
        <f>ข้อมูลทำเนียบ!C51</f>
        <v>รอง สวป.สภ.หลังสวน ภ.จว.ชุมพร</v>
      </c>
      <c r="J92" s="338"/>
      <c r="K92" s="338"/>
      <c r="L92" s="338"/>
      <c r="M92" s="339"/>
    </row>
    <row r="93" spans="1:14" ht="21.95" customHeight="1">
      <c r="A93" s="108"/>
      <c r="B93" s="343">
        <f>ข้อมูลทำเนียบ!I46</f>
        <v>0</v>
      </c>
      <c r="C93" s="341"/>
      <c r="D93" s="341"/>
      <c r="E93" s="341"/>
      <c r="F93" s="342"/>
      <c r="G93" s="111"/>
      <c r="H93" s="108"/>
      <c r="I93" s="343">
        <f>ข้อมูลทำเนียบ!I47</f>
        <v>0</v>
      </c>
      <c r="J93" s="341"/>
      <c r="K93" s="341"/>
      <c r="L93" s="341"/>
      <c r="M93" s="342"/>
    </row>
    <row r="94" spans="1:14" ht="15" customHeight="1"/>
    <row r="95" spans="1:14" ht="21.95" customHeight="1">
      <c r="A95" s="106"/>
      <c r="B95" s="333" t="str">
        <f>ข้อมูลทำเนียบ!B48</f>
        <v>ร.ต.อ.เศรษฐพงศ์  สุกกระ/เส</v>
      </c>
      <c r="C95" s="334"/>
      <c r="D95" s="334"/>
      <c r="E95" s="335">
        <f>ข้อมูลทำเนียบ!D54</f>
        <v>0</v>
      </c>
      <c r="F95" s="336"/>
      <c r="G95" s="111">
        <v>45</v>
      </c>
      <c r="H95" s="106"/>
      <c r="I95" s="333" t="str">
        <f>ข้อมูลทำเนียบ!B49</f>
        <v>ร.ต.อ.สัจจะ  สมกำลัง/จะ</v>
      </c>
      <c r="J95" s="334"/>
      <c r="K95" s="334"/>
      <c r="L95" s="335">
        <f>ข้อมูลทำเนียบ!D55</f>
        <v>0</v>
      </c>
      <c r="M95" s="336"/>
      <c r="N95" s="105">
        <v>46</v>
      </c>
    </row>
    <row r="96" spans="1:14" ht="21.95" customHeight="1">
      <c r="A96" s="107"/>
      <c r="B96" s="337" t="str">
        <f>ข้อมูลทำเนียบ!C48</f>
        <v>รอง สวป.สภ.อ่าวนาง ภ.จว.กระบี่</v>
      </c>
      <c r="C96" s="338"/>
      <c r="D96" s="338"/>
      <c r="E96" s="338"/>
      <c r="F96" s="339"/>
      <c r="G96" s="111"/>
      <c r="H96" s="107"/>
      <c r="I96" s="337" t="str">
        <f>ข้อมูลทำเนียบ!C49</f>
        <v>รอง สว.สส.สภ.ทรายขาว ภ.จว.กระบี่</v>
      </c>
      <c r="J96" s="338"/>
      <c r="K96" s="338"/>
      <c r="L96" s="338"/>
      <c r="M96" s="339"/>
    </row>
    <row r="97" spans="1:14" ht="21.95" customHeight="1">
      <c r="A97" s="108"/>
      <c r="B97" s="340">
        <f>ข้อมูลทำเนียบ!I48</f>
        <v>0</v>
      </c>
      <c r="C97" s="341"/>
      <c r="D97" s="341"/>
      <c r="E97" s="341"/>
      <c r="F97" s="342"/>
      <c r="G97" s="111"/>
      <c r="H97" s="108"/>
      <c r="I97" s="340">
        <f>ข้อมูลทำเนียบ!I49</f>
        <v>0</v>
      </c>
      <c r="J97" s="341"/>
      <c r="K97" s="341"/>
      <c r="L97" s="341"/>
      <c r="M97" s="342"/>
    </row>
    <row r="98" spans="1:14" ht="15" customHeight="1"/>
    <row r="99" spans="1:14" ht="21.95" customHeight="1">
      <c r="A99" s="106"/>
      <c r="B99" s="333" t="str">
        <f>ข้อมูลทำเนียบ!B50</f>
        <v>ร.ต.อ.สุวิศิษฏ์  คีรีรักษ์/เอก</v>
      </c>
      <c r="C99" s="334"/>
      <c r="D99" s="334"/>
      <c r="E99" s="335">
        <f>ข้อมูลทำเนียบ!D58</f>
        <v>0</v>
      </c>
      <c r="F99" s="336"/>
      <c r="G99" s="111">
        <v>47</v>
      </c>
      <c r="H99" s="106"/>
      <c r="I99" s="333" t="str">
        <f>ข้อมูลทำเนียบ!B51</f>
        <v>ร.ต.อ.อภิเชษฐ์  คีรีเพ็ชร/เชษฐ์</v>
      </c>
      <c r="J99" s="334"/>
      <c r="K99" s="334"/>
      <c r="L99" s="335">
        <f>ข้อมูลทำเนียบ!D59</f>
        <v>0</v>
      </c>
      <c r="M99" s="336"/>
      <c r="N99" s="105">
        <v>48</v>
      </c>
    </row>
    <row r="100" spans="1:14" ht="21.95" customHeight="1">
      <c r="A100" s="107"/>
      <c r="B100" s="337" t="str">
        <f>ข้อมูลทำเนียบ!C50</f>
        <v>รอง สวป.สภ.ป่าตอง ภ.จว.ภูเก็ต</v>
      </c>
      <c r="C100" s="338"/>
      <c r="D100" s="338"/>
      <c r="E100" s="338"/>
      <c r="F100" s="339"/>
      <c r="G100" s="111"/>
      <c r="H100" s="107"/>
      <c r="I100" s="337" t="str">
        <f>ข้อมูลทำเนียบ!C51</f>
        <v>รอง สวป.สภ.หลังสวน ภ.จว.ชุมพร</v>
      </c>
      <c r="J100" s="338"/>
      <c r="K100" s="338"/>
      <c r="L100" s="338"/>
      <c r="M100" s="339"/>
    </row>
    <row r="101" spans="1:14" ht="21.95" customHeight="1">
      <c r="A101" s="108"/>
      <c r="B101" s="340">
        <f>ข้อมูลทำเนียบ!I50</f>
        <v>0</v>
      </c>
      <c r="C101" s="341"/>
      <c r="D101" s="341"/>
      <c r="E101" s="341"/>
      <c r="F101" s="342"/>
      <c r="G101" s="111"/>
      <c r="H101" s="108"/>
      <c r="I101" s="340">
        <f>ข้อมูลทำเนียบ!I51</f>
        <v>0</v>
      </c>
      <c r="J101" s="341"/>
      <c r="K101" s="341"/>
      <c r="L101" s="341"/>
      <c r="M101" s="342"/>
    </row>
    <row r="102" spans="1:14" ht="15" customHeight="1"/>
    <row r="103" spans="1:14" ht="21.95" customHeight="1">
      <c r="A103" s="106"/>
      <c r="B103" s="333" t="str">
        <f>ข้อมูลทำเนียบ!B52</f>
        <v>ร.ต.อ.อนุรัตน์  ศรีมาลา/ตู่</v>
      </c>
      <c r="C103" s="334"/>
      <c r="D103" s="334"/>
      <c r="E103" s="335">
        <f>ข้อมูลทำเนียบ!D62</f>
        <v>0</v>
      </c>
      <c r="F103" s="336"/>
      <c r="G103" s="111">
        <v>49</v>
      </c>
      <c r="H103" s="106"/>
      <c r="I103" s="333" t="str">
        <f>ข้อมูลทำเนียบ!B53</f>
        <v>ร.ต.อ.ธัชพล  มณีแสง/ธัช</v>
      </c>
      <c r="J103" s="334"/>
      <c r="K103" s="334"/>
      <c r="L103" s="335">
        <f>ข้อมูลทำเนียบ!D63</f>
        <v>0</v>
      </c>
      <c r="M103" s="336"/>
      <c r="N103" s="105">
        <v>50</v>
      </c>
    </row>
    <row r="104" spans="1:14" ht="21.95" customHeight="1">
      <c r="A104" s="107"/>
      <c r="B104" s="337" t="str">
        <f>ข้อมูลทำเนียบ!C52</f>
        <v>รอง สวป.สภ.ท่าแซะ ภ.จว.ชุมพร</v>
      </c>
      <c r="C104" s="338"/>
      <c r="D104" s="338"/>
      <c r="E104" s="338"/>
      <c r="F104" s="339"/>
      <c r="G104" s="111"/>
      <c r="H104" s="107"/>
      <c r="I104" s="337" t="str">
        <f>ข้อมูลทำเนียบ!C53</f>
        <v>รอง สว.ศูนย์ฝึกยุทธวิธีตำรวจ บก.ฝรก.</v>
      </c>
      <c r="J104" s="338"/>
      <c r="K104" s="338"/>
      <c r="L104" s="338"/>
      <c r="M104" s="339"/>
    </row>
    <row r="105" spans="1:14" ht="21.95" customHeight="1">
      <c r="A105" s="108"/>
      <c r="B105" s="340">
        <f>ข้อมูลทำเนียบ!I52</f>
        <v>0</v>
      </c>
      <c r="C105" s="341"/>
      <c r="D105" s="341"/>
      <c r="E105" s="341"/>
      <c r="F105" s="342"/>
      <c r="G105" s="111"/>
      <c r="H105" s="108"/>
      <c r="I105" s="340">
        <f>ข้อมูลทำเนียบ!I53</f>
        <v>0</v>
      </c>
      <c r="J105" s="341"/>
      <c r="K105" s="341"/>
      <c r="L105" s="341"/>
      <c r="M105" s="342"/>
    </row>
  </sheetData>
  <mergeCells count="204">
    <mergeCell ref="A4:G4"/>
    <mergeCell ref="B63:F63"/>
    <mergeCell ref="I79:K79"/>
    <mergeCell ref="B79:D79"/>
    <mergeCell ref="B75:D75"/>
    <mergeCell ref="I75:K75"/>
    <mergeCell ref="E75:F75"/>
    <mergeCell ref="B67:F67"/>
    <mergeCell ref="I66:K66"/>
    <mergeCell ref="E46:F46"/>
    <mergeCell ref="I50:K50"/>
    <mergeCell ref="B50:D50"/>
    <mergeCell ref="I67:M67"/>
    <mergeCell ref="B64:F64"/>
    <mergeCell ref="I64:M64"/>
    <mergeCell ref="E62:F62"/>
    <mergeCell ref="B59:F59"/>
    <mergeCell ref="B60:F60"/>
    <mergeCell ref="L54:M54"/>
    <mergeCell ref="B48:F48"/>
    <mergeCell ref="E66:F66"/>
    <mergeCell ref="I76:M76"/>
    <mergeCell ref="I77:M77"/>
    <mergeCell ref="I40:M40"/>
    <mergeCell ref="I84:M84"/>
    <mergeCell ref="I85:M85"/>
    <mergeCell ref="B84:F84"/>
    <mergeCell ref="I81:M81"/>
    <mergeCell ref="B80:F80"/>
    <mergeCell ref="I80:M80"/>
    <mergeCell ref="B68:F68"/>
    <mergeCell ref="I72:M72"/>
    <mergeCell ref="B71:D71"/>
    <mergeCell ref="B83:D83"/>
    <mergeCell ref="B81:F81"/>
    <mergeCell ref="L79:M79"/>
    <mergeCell ref="I73:M73"/>
    <mergeCell ref="B76:F76"/>
    <mergeCell ref="E79:F79"/>
    <mergeCell ref="E71:F71"/>
    <mergeCell ref="I71:K71"/>
    <mergeCell ref="I83:K83"/>
    <mergeCell ref="B72:F72"/>
    <mergeCell ref="B73:F73"/>
    <mergeCell ref="B77:F77"/>
    <mergeCell ref="L75:M75"/>
    <mergeCell ref="L71:M71"/>
    <mergeCell ref="E83:F83"/>
    <mergeCell ref="L83:M83"/>
    <mergeCell ref="L62:M62"/>
    <mergeCell ref="L66:M66"/>
    <mergeCell ref="I62:K62"/>
    <mergeCell ref="B62:D62"/>
    <mergeCell ref="L42:M42"/>
    <mergeCell ref="E42:F42"/>
    <mergeCell ref="L50:M50"/>
    <mergeCell ref="B56:F56"/>
    <mergeCell ref="I46:K46"/>
    <mergeCell ref="B46:D46"/>
    <mergeCell ref="I42:K42"/>
    <mergeCell ref="B42:D42"/>
    <mergeCell ref="B47:F47"/>
    <mergeCell ref="I47:M47"/>
    <mergeCell ref="I48:M48"/>
    <mergeCell ref="I44:M44"/>
    <mergeCell ref="B44:F44"/>
    <mergeCell ref="I54:K54"/>
    <mergeCell ref="B43:F43"/>
    <mergeCell ref="B66:D66"/>
    <mergeCell ref="B85:F85"/>
    <mergeCell ref="I25:K25"/>
    <mergeCell ref="B25:D25"/>
    <mergeCell ref="L25:M25"/>
    <mergeCell ref="B22:F22"/>
    <mergeCell ref="E50:F50"/>
    <mergeCell ref="I59:M59"/>
    <mergeCell ref="I56:M56"/>
    <mergeCell ref="I63:M63"/>
    <mergeCell ref="L58:M58"/>
    <mergeCell ref="E58:F58"/>
    <mergeCell ref="E54:F54"/>
    <mergeCell ref="B51:F51"/>
    <mergeCell ref="B52:F52"/>
    <mergeCell ref="I60:M60"/>
    <mergeCell ref="I51:M51"/>
    <mergeCell ref="I52:M52"/>
    <mergeCell ref="I58:K58"/>
    <mergeCell ref="B54:D54"/>
    <mergeCell ref="B58:D58"/>
    <mergeCell ref="B55:F55"/>
    <mergeCell ref="I55:M55"/>
    <mergeCell ref="L46:M46"/>
    <mergeCell ref="I68:M68"/>
    <mergeCell ref="B40:F40"/>
    <mergeCell ref="I35:M35"/>
    <mergeCell ref="I39:M39"/>
    <mergeCell ref="L38:M38"/>
    <mergeCell ref="E38:F38"/>
    <mergeCell ref="B29:D29"/>
    <mergeCell ref="I43:M43"/>
    <mergeCell ref="B34:F34"/>
    <mergeCell ref="B35:F35"/>
    <mergeCell ref="B26:F26"/>
    <mergeCell ref="B27:F27"/>
    <mergeCell ref="I26:M26"/>
    <mergeCell ref="I27:M27"/>
    <mergeCell ref="I38:K38"/>
    <mergeCell ref="B38:D38"/>
    <mergeCell ref="B39:F39"/>
    <mergeCell ref="B31:F31"/>
    <mergeCell ref="I33:K33"/>
    <mergeCell ref="B33:D33"/>
    <mergeCell ref="B30:F30"/>
    <mergeCell ref="E33:F33"/>
    <mergeCell ref="L33:M33"/>
    <mergeCell ref="I30:M30"/>
    <mergeCell ref="I5:K5"/>
    <mergeCell ref="I9:K9"/>
    <mergeCell ref="B9:D9"/>
    <mergeCell ref="B13:D13"/>
    <mergeCell ref="I10:M10"/>
    <mergeCell ref="I13:K13"/>
    <mergeCell ref="B23:F23"/>
    <mergeCell ref="I34:M34"/>
    <mergeCell ref="I31:M31"/>
    <mergeCell ref="E29:F29"/>
    <mergeCell ref="L29:M29"/>
    <mergeCell ref="I29:K29"/>
    <mergeCell ref="I17:K17"/>
    <mergeCell ref="I23:M23"/>
    <mergeCell ref="B17:D17"/>
    <mergeCell ref="B21:D21"/>
    <mergeCell ref="I18:M18"/>
    <mergeCell ref="B18:F18"/>
    <mergeCell ref="B19:F19"/>
    <mergeCell ref="E25:F25"/>
    <mergeCell ref="I22:M22"/>
    <mergeCell ref="L21:M21"/>
    <mergeCell ref="I19:M19"/>
    <mergeCell ref="I21:K21"/>
    <mergeCell ref="A2:M2"/>
    <mergeCell ref="A1:M1"/>
    <mergeCell ref="E5:F5"/>
    <mergeCell ref="E21:F21"/>
    <mergeCell ref="L13:M13"/>
    <mergeCell ref="B6:F6"/>
    <mergeCell ref="I11:M11"/>
    <mergeCell ref="L9:M9"/>
    <mergeCell ref="B10:F10"/>
    <mergeCell ref="B11:F11"/>
    <mergeCell ref="A3:M3"/>
    <mergeCell ref="I7:M7"/>
    <mergeCell ref="B14:F14"/>
    <mergeCell ref="B15:F15"/>
    <mergeCell ref="E13:F13"/>
    <mergeCell ref="L17:M17"/>
    <mergeCell ref="E17:F17"/>
    <mergeCell ref="I6:M6"/>
    <mergeCell ref="L5:M5"/>
    <mergeCell ref="E9:F9"/>
    <mergeCell ref="B7:F7"/>
    <mergeCell ref="I14:M14"/>
    <mergeCell ref="I15:M15"/>
    <mergeCell ref="B5:D5"/>
    <mergeCell ref="B87:D87"/>
    <mergeCell ref="E87:F87"/>
    <mergeCell ref="I87:K87"/>
    <mergeCell ref="L87:M87"/>
    <mergeCell ref="B88:F88"/>
    <mergeCell ref="I88:M88"/>
    <mergeCell ref="B89:F89"/>
    <mergeCell ref="I89:M89"/>
    <mergeCell ref="B91:D91"/>
    <mergeCell ref="E91:F91"/>
    <mergeCell ref="I91:K91"/>
    <mergeCell ref="L91:M91"/>
    <mergeCell ref="B92:F92"/>
    <mergeCell ref="I92:M92"/>
    <mergeCell ref="B93:F93"/>
    <mergeCell ref="I93:M93"/>
    <mergeCell ref="B95:D95"/>
    <mergeCell ref="E95:F95"/>
    <mergeCell ref="I95:K95"/>
    <mergeCell ref="L95:M95"/>
    <mergeCell ref="B96:F96"/>
    <mergeCell ref="I96:M96"/>
    <mergeCell ref="B103:D103"/>
    <mergeCell ref="E103:F103"/>
    <mergeCell ref="I103:K103"/>
    <mergeCell ref="L103:M103"/>
    <mergeCell ref="B104:F104"/>
    <mergeCell ref="I104:M104"/>
    <mergeCell ref="B105:F105"/>
    <mergeCell ref="I105:M105"/>
    <mergeCell ref="B97:F97"/>
    <mergeCell ref="I97:M97"/>
    <mergeCell ref="B99:D99"/>
    <mergeCell ref="E99:F99"/>
    <mergeCell ref="I99:K99"/>
    <mergeCell ref="L99:M99"/>
    <mergeCell ref="B100:F100"/>
    <mergeCell ref="I100:M100"/>
    <mergeCell ref="B101:F101"/>
    <mergeCell ref="I101:M101"/>
  </mergeCells>
  <pageMargins left="0.45" right="0.23622047244094491" top="0.34" bottom="0.15" header="0.13" footer="0.13"/>
  <pageSetup paperSize="9" orientation="portrait" horizont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0"/>
  <sheetViews>
    <sheetView topLeftCell="A19" workbookViewId="0">
      <selection activeCell="B24" sqref="B24"/>
    </sheetView>
  </sheetViews>
  <sheetFormatPr defaultRowHeight="25.5"/>
  <cols>
    <col min="1" max="1" width="4.875" style="104" bestFit="1" customWidth="1"/>
    <col min="2" max="2" width="36" style="188" customWidth="1"/>
    <col min="3" max="3" width="4.875" style="104" bestFit="1" customWidth="1"/>
    <col min="4" max="4" width="36" style="188" customWidth="1"/>
    <col min="5" max="16384" width="9" style="104"/>
  </cols>
  <sheetData>
    <row r="1" spans="1:4" ht="26.25">
      <c r="A1" s="189"/>
      <c r="B1" s="190"/>
      <c r="C1" s="189"/>
      <c r="D1" s="190"/>
    </row>
    <row r="2" spans="1:4" ht="26.25">
      <c r="A2" s="189"/>
      <c r="B2" s="190"/>
      <c r="C2" s="189"/>
      <c r="D2" s="190"/>
    </row>
    <row r="3" spans="1:4" ht="26.25">
      <c r="A3" s="189"/>
      <c r="B3" s="190"/>
      <c r="C3" s="189"/>
      <c r="D3" s="190"/>
    </row>
    <row r="4" spans="1:4" ht="26.25">
      <c r="A4" s="189"/>
      <c r="B4" s="190"/>
      <c r="C4" s="189"/>
      <c r="D4" s="190"/>
    </row>
    <row r="5" spans="1:4" ht="26.25">
      <c r="A5" s="189"/>
      <c r="B5" s="190"/>
      <c r="C5" s="189"/>
      <c r="D5" s="190"/>
    </row>
    <row r="6" spans="1:4" ht="26.25">
      <c r="A6" s="189"/>
      <c r="B6" s="190"/>
      <c r="C6" s="189"/>
      <c r="D6" s="190"/>
    </row>
    <row r="7" spans="1:4" ht="26.25">
      <c r="A7" s="189"/>
      <c r="B7" s="190"/>
      <c r="C7" s="189"/>
      <c r="D7" s="190"/>
    </row>
    <row r="8" spans="1:4" ht="26.25">
      <c r="A8" s="189"/>
      <c r="B8" s="190"/>
      <c r="C8" s="189"/>
      <c r="D8" s="190"/>
    </row>
    <row r="9" spans="1:4" ht="26.25">
      <c r="A9" s="189"/>
      <c r="B9" s="190"/>
      <c r="C9" s="189"/>
      <c r="D9" s="190"/>
    </row>
    <row r="10" spans="1:4" ht="26.25">
      <c r="A10" s="189"/>
      <c r="B10" s="190"/>
      <c r="C10" s="189"/>
      <c r="D10" s="190"/>
    </row>
    <row r="11" spans="1:4" ht="26.25">
      <c r="A11" s="189"/>
      <c r="B11" s="190"/>
      <c r="C11" s="189"/>
      <c r="D11" s="190"/>
    </row>
    <row r="12" spans="1:4" ht="26.25">
      <c r="A12" s="189"/>
      <c r="B12" s="190"/>
      <c r="C12" s="189"/>
      <c r="D12" s="190"/>
    </row>
    <row r="13" spans="1:4" ht="26.25">
      <c r="A13" s="189"/>
      <c r="B13" s="190"/>
      <c r="C13" s="189"/>
      <c r="D13" s="190"/>
    </row>
    <row r="14" spans="1:4" ht="26.25">
      <c r="A14" s="189"/>
      <c r="B14" s="190"/>
      <c r="C14" s="189"/>
      <c r="D14" s="190"/>
    </row>
    <row r="15" spans="1:4" ht="26.25">
      <c r="A15" s="189"/>
      <c r="B15" s="190"/>
      <c r="C15" s="189"/>
      <c r="D15" s="190"/>
    </row>
    <row r="16" spans="1:4" ht="26.25">
      <c r="A16" s="189"/>
      <c r="B16" s="190"/>
      <c r="C16" s="189"/>
      <c r="D16" s="190"/>
    </row>
    <row r="17" spans="1:4" ht="26.25">
      <c r="A17" s="189"/>
      <c r="B17" s="190"/>
      <c r="C17" s="189"/>
      <c r="D17" s="190"/>
    </row>
    <row r="18" spans="1:4" ht="26.25">
      <c r="A18" s="189"/>
      <c r="B18" s="190"/>
      <c r="C18" s="189"/>
      <c r="D18" s="190"/>
    </row>
    <row r="19" spans="1:4" ht="26.25">
      <c r="A19" s="189"/>
      <c r="B19" s="190"/>
      <c r="C19" s="189"/>
      <c r="D19" s="190"/>
    </row>
    <row r="20" spans="1:4" ht="26.25">
      <c r="A20" s="189"/>
      <c r="B20" s="190"/>
      <c r="C20" s="189"/>
      <c r="D20" s="190"/>
    </row>
    <row r="21" spans="1:4" ht="26.25">
      <c r="C21" s="189"/>
      <c r="D21" s="190"/>
    </row>
    <row r="22" spans="1:4" ht="26.25">
      <c r="C22" s="189"/>
      <c r="D22" s="190"/>
    </row>
    <row r="23" spans="1:4" ht="26.25">
      <c r="A23" s="189"/>
      <c r="B23" s="190"/>
      <c r="C23" s="189"/>
      <c r="D23" s="190"/>
    </row>
    <row r="24" spans="1:4" ht="26.25">
      <c r="A24" s="103">
        <v>50</v>
      </c>
      <c r="B24" s="187" t="s">
        <v>51</v>
      </c>
      <c r="C24" s="189"/>
      <c r="D24" s="190"/>
    </row>
    <row r="25" spans="1:4" ht="26.25">
      <c r="C25" s="189"/>
      <c r="D25" s="190"/>
    </row>
    <row r="26" spans="1:4" ht="26.25">
      <c r="C26" s="189"/>
      <c r="D26" s="190"/>
    </row>
    <row r="27" spans="1:4" ht="26.25">
      <c r="C27" s="189"/>
      <c r="D27" s="190"/>
    </row>
    <row r="28" spans="1:4" ht="26.25">
      <c r="C28" s="189"/>
      <c r="D28" s="190"/>
    </row>
    <row r="29" spans="1:4" ht="26.25">
      <c r="C29" s="189"/>
      <c r="D29" s="190"/>
    </row>
    <row r="30" spans="1:4" ht="26.25">
      <c r="C30" s="189"/>
      <c r="D30" s="190"/>
    </row>
  </sheetData>
  <pageMargins left="0.36" right="0.26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E11" sqref="E11"/>
    </sheetView>
  </sheetViews>
  <sheetFormatPr defaultRowHeight="20.25"/>
  <cols>
    <col min="1" max="1" width="4.875" style="52" customWidth="1"/>
    <col min="2" max="2" width="5.25" style="51" customWidth="1"/>
    <col min="3" max="3" width="9.625" style="61" customWidth="1"/>
    <col min="4" max="4" width="9.125" style="61" customWidth="1"/>
    <col min="5" max="5" width="29.75" style="61" customWidth="1"/>
    <col min="6" max="6" width="9.875" style="61" customWidth="1"/>
    <col min="7" max="7" width="10.5" style="61" customWidth="1"/>
    <col min="8" max="8" width="12.75" style="65" customWidth="1"/>
    <col min="9" max="16384" width="9" style="51"/>
  </cols>
  <sheetData>
    <row r="1" spans="1:8" ht="31.5">
      <c r="A1" s="353" t="s">
        <v>30</v>
      </c>
      <c r="B1" s="353"/>
      <c r="C1" s="353"/>
      <c r="D1" s="353"/>
      <c r="E1" s="353"/>
      <c r="F1" s="353"/>
      <c r="G1" s="353"/>
      <c r="H1" s="353"/>
    </row>
    <row r="2" spans="1:8" ht="26.25">
      <c r="A2" s="354" t="s">
        <v>26</v>
      </c>
      <c r="B2" s="354"/>
      <c r="C2" s="354"/>
      <c r="D2" s="354"/>
      <c r="E2" s="354"/>
      <c r="F2" s="354"/>
      <c r="G2" s="354"/>
      <c r="H2" s="354"/>
    </row>
    <row r="3" spans="1:8" ht="26.25">
      <c r="A3" s="354" t="s">
        <v>27</v>
      </c>
      <c r="B3" s="354"/>
      <c r="C3" s="354"/>
      <c r="D3" s="354"/>
      <c r="E3" s="354"/>
      <c r="F3" s="354"/>
      <c r="G3" s="354"/>
      <c r="H3" s="354"/>
    </row>
    <row r="4" spans="1:8" ht="30" customHeight="1">
      <c r="A4" s="358" t="s">
        <v>29</v>
      </c>
      <c r="B4" s="358"/>
      <c r="C4" s="358"/>
      <c r="D4" s="358"/>
      <c r="E4" s="358"/>
      <c r="F4" s="358"/>
      <c r="G4" s="358"/>
      <c r="H4" s="358"/>
    </row>
    <row r="5" spans="1:8" s="62" customFormat="1">
      <c r="A5" s="63" t="s">
        <v>3</v>
      </c>
      <c r="B5" s="293" t="s">
        <v>18</v>
      </c>
      <c r="C5" s="293"/>
      <c r="D5" s="293"/>
      <c r="E5" s="60" t="s">
        <v>10</v>
      </c>
      <c r="F5" s="60" t="s">
        <v>31</v>
      </c>
      <c r="G5" s="60" t="s">
        <v>32</v>
      </c>
      <c r="H5" s="64" t="s">
        <v>28</v>
      </c>
    </row>
    <row r="6" spans="1:8">
      <c r="A6" s="355" t="s">
        <v>7</v>
      </c>
      <c r="B6" s="356"/>
      <c r="C6" s="356"/>
      <c r="D6" s="356"/>
      <c r="E6" s="356"/>
      <c r="F6" s="356"/>
      <c r="G6" s="356"/>
      <c r="H6" s="357"/>
    </row>
  </sheetData>
  <mergeCells count="6">
    <mergeCell ref="A1:H1"/>
    <mergeCell ref="A2:H2"/>
    <mergeCell ref="A3:H3"/>
    <mergeCell ref="B5:D5"/>
    <mergeCell ref="A6:H6"/>
    <mergeCell ref="A4:H4"/>
  </mergeCells>
  <pageMargins left="0.3" right="0.11811023622047245" top="0.64" bottom="0.56000000000000005" header="0.27559055118110237" footer="0.1574803149606299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14</vt:i4>
      </vt:variant>
      <vt:variant>
        <vt:lpstr>ช่วงที่มีชื่อ</vt:lpstr>
      </vt:variant>
      <vt:variant>
        <vt:i4>12</vt:i4>
      </vt:variant>
    </vt:vector>
  </HeadingPairs>
  <TitlesOfParts>
    <vt:vector size="26" baseType="lpstr">
      <vt:lpstr>รับรายงานตัว</vt:lpstr>
      <vt:lpstr>รายชื่อ1</vt:lpstr>
      <vt:lpstr>คะแนน</vt:lpstr>
      <vt:lpstr>จำหน่ายกระสุน</vt:lpstr>
      <vt:lpstr>เช็คชื่อ</vt:lpstr>
      <vt:lpstr>เข้าเรียน</vt:lpstr>
      <vt:lpstr>ค่าอาหาร</vt:lpstr>
      <vt:lpstr>ตรวจสอบชื่อพิมพ์ประกาศ</vt:lpstr>
      <vt:lpstr>Sheet1</vt:lpstr>
      <vt:lpstr>ข้อมูลทำเนียบ</vt:lpstr>
      <vt:lpstr>บัตร</vt:lpstr>
      <vt:lpstr>ทำเนียบรุ่น</vt:lpstr>
      <vt:lpstr>Sheet2</vt:lpstr>
      <vt:lpstr>ห้องพัก</vt:lpstr>
      <vt:lpstr>Sheet1!Print_Titles</vt:lpstr>
      <vt:lpstr>ข้อมูลทำเนียบ!Print_Titles</vt:lpstr>
      <vt:lpstr>เข้าเรียน!Print_Titles</vt:lpstr>
      <vt:lpstr>คะแนน!Print_Titles</vt:lpstr>
      <vt:lpstr>ค่าอาหาร!Print_Titles</vt:lpstr>
      <vt:lpstr>จำหน่ายกระสุน!Print_Titles</vt:lpstr>
      <vt:lpstr>เช็คชื่อ!Print_Titles</vt:lpstr>
      <vt:lpstr>ตรวจสอบชื่อพิมพ์ประกาศ!Print_Titles</vt:lpstr>
      <vt:lpstr>ทำเนียบรุ่น!Print_Titles</vt:lpstr>
      <vt:lpstr>รับรายงานตัว!Print_Titles</vt:lpstr>
      <vt:lpstr>รายชื่อ1!Print_Titles</vt:lpstr>
      <vt:lpstr>ห้องพัก!Print_Titles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Service007</dc:creator>
  <cp:lastModifiedBy>Jaruneevi12@gmail.com</cp:lastModifiedBy>
  <cp:lastPrinted>2019-07-29T09:12:30Z</cp:lastPrinted>
  <dcterms:created xsi:type="dcterms:W3CDTF">2015-01-19T06:25:55Z</dcterms:created>
  <dcterms:modified xsi:type="dcterms:W3CDTF">2019-07-29T09:13:56Z</dcterms:modified>
</cp:coreProperties>
</file>